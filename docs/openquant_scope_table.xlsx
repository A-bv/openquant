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Concept Inventory" sheetId="2" state="visible" r:id="rId2"/>
    <sheet xmlns:r="http://schemas.openxmlformats.org/officeDocument/2006/relationships" name="Formula Inventory" sheetId="3" state="visible" r:id="rId3"/>
    <sheet xmlns:r="http://schemas.openxmlformats.org/officeDocument/2006/relationships" name="Exam Mapping" sheetId="4" state="visible" r:id="rId4"/>
    <sheet xmlns:r="http://schemas.openxmlformats.org/officeDocument/2006/relationships" name="OpenQuant Coverage" sheetId="5" state="visible" r:id="rId5"/>
    <sheet xmlns:r="http://schemas.openxmlformats.org/officeDocument/2006/relationships" name="Source Workbook" sheetId="6" state="visible" r:id="rId6"/>
    <sheet xmlns:r="http://schemas.openxmlformats.org/officeDocument/2006/relationships" name="Missing Coverage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Checks" sheetId="9" state="visible" r:id="rId9"/>
  </sheets>
  <definedNames>
    <definedName name="_xlnm._FilterDatabase" localSheetId="0" hidden="1">'Project Plan'!$A$4:$B$13</definedName>
    <definedName name="_xlnm._FilterDatabase" localSheetId="1" hidden="1">'Concept Inventory'!$A$4:$J$40</definedName>
    <definedName name="_xlnm._FilterDatabase" localSheetId="2" hidden="1">'Formula Inventory'!$A$4:$K$58</definedName>
    <definedName name="_xlnm._FilterDatabase" localSheetId="3" hidden="1">'Exam Mapping'!$A$4:$I$18</definedName>
    <definedName name="_xlnm._FilterDatabase" localSheetId="4" hidden="1">'OpenQuant Coverage'!$A$4:$G$22</definedName>
    <definedName name="_xlnm._FilterDatabase" localSheetId="5" hidden="1">'Source Workbook'!$A$4:$C$19</definedName>
    <definedName name="_xlnm._FilterDatabase" localSheetId="6" hidden="1">'Missing Coverage'!$A$4:$F$15</definedName>
    <definedName name="_xlnm._FilterDatabase" localSheetId="7" hidden="1">'Sources'!$A$4:$C$11</definedName>
    <definedName name="_xlnm._FilterDatabase" localSheetId="8" hidden="1">'Checks'!$A$4:$E$9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F1F1F"/>
    </font>
    <font>
      <b val="1"/>
    </font>
    <font>
      <name val="Aptos"/>
      <b val="1"/>
      <color rgb="00FFFFFF"/>
      <sz val="10"/>
    </font>
    <font>
      <name val="Aptos"/>
      <family val="2"/>
      <color theme="1"/>
      <sz val="10"/>
      <scheme val="minor"/>
    </font>
    <font>
      <name val="Aptos"/>
      <i val="1"/>
      <color rgb="00666666"/>
      <sz val="10"/>
    </font>
    <font>
      <name val="Aptos"/>
      <b val="1"/>
      <color rgb="001F1F1F"/>
      <sz val="10"/>
    </font>
    <font>
      <name val="Aptos"/>
      <b val="1"/>
      <sz val="10"/>
    </font>
    <font>
      <name val="Aptos"/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bottom style="hair">
        <color rgb="00E7E6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0" fillId="2" borderId="0" applyAlignment="1" pivotButton="0" quotePrefix="0" xfId="0">
      <alignment vertical="center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0" fontId="6" fillId="0" borderId="2" applyAlignment="1" pivotButton="0" quotePrefix="0" xfId="0">
      <alignment vertical="top" wrapText="1"/>
    </xf>
    <xf numFmtId="1" fontId="6" fillId="0" borderId="0" pivotButton="0" quotePrefix="0" xfId="0"/>
    <xf numFmtId="0" fontId="6" fillId="4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  <col width="3" customWidth="1" min="3" max="3"/>
    <col width="28" customWidth="1" min="4" max="4"/>
    <col width="18" customWidth="1" min="5" max="5"/>
  </cols>
  <sheetData>
    <row r="1" ht="24" customHeight="1">
      <c r="A1" s="1" t="inlineStr">
        <is>
          <t>OpenQuant Project Plan</t>
        </is>
      </c>
      <c r="B1" s="2" t="n"/>
      <c r="C1" s="2" t="n"/>
      <c r="D1" s="2" t="n"/>
      <c r="E1" s="2" t="n"/>
    </row>
    <row r="2" ht="18" customHeight="1">
      <c r="A2" s="3" t="inlineStr">
        <is>
          <t>Objectives, scope, source material, and current product definition.</t>
        </is>
      </c>
      <c r="B2" s="2" t="n"/>
      <c r="C2" s="2" t="n"/>
      <c r="D2" s="2" t="n"/>
      <c r="E2" s="2" t="n"/>
    </row>
    <row r="3" ht="18" customHeight="1">
      <c r="A3" s="2" t="n"/>
      <c r="B3" s="2" t="n"/>
      <c r="C3" s="2" t="n"/>
      <c r="D3" s="2" t="n"/>
      <c r="E3" s="2" t="n"/>
    </row>
    <row r="4" ht="18" customHeight="1">
      <c r="A4" s="4" t="inlineStr">
        <is>
          <t>Item</t>
        </is>
      </c>
      <c r="B4" s="4" t="inlineStr">
        <is>
          <t>Definition</t>
        </is>
      </c>
      <c r="C4" s="2" t="n"/>
      <c r="D4" s="5" t="inlineStr">
        <is>
          <t>Coverage Snapshot</t>
        </is>
      </c>
      <c r="E4" s="2" t="n"/>
    </row>
    <row r="5" ht="18" customHeight="1">
      <c r="A5" s="6" t="inlineStr">
        <is>
          <t>Course objective</t>
        </is>
      </c>
      <c r="B5" s="6" t="inlineStr">
        <is>
          <t>This course introduces students to financial valuation and value enhancement through financial decision making.</t>
        </is>
      </c>
      <c r="C5" s="2" t="n"/>
      <c r="D5" s="2" t="inlineStr">
        <is>
          <t>Concept rows</t>
        </is>
      </c>
      <c r="E5" s="7">
        <f>COUNTA('Concept Inventory'!B5:B200)</f>
        <v/>
      </c>
    </row>
    <row r="6" ht="18" customHeight="1">
      <c r="A6" s="6" t="inlineStr">
        <is>
          <t>Course source</t>
        </is>
      </c>
      <c r="B6" s="6" t="inlineStr">
        <is>
          <t>EPFL Principles of Finance; likely built from Berk &amp; DeMarzo Corporate Finance, Pearson, 2nd Ed., 2010.</t>
        </is>
      </c>
      <c r="C6" s="2" t="n"/>
      <c r="D6" s="2" t="inlineStr">
        <is>
          <t>Formula rows</t>
        </is>
      </c>
      <c r="E6" s="7">
        <f>COUNTA('Formula Inventory'!B5:B200)</f>
        <v/>
      </c>
    </row>
    <row r="7" ht="18" customHeight="1">
      <c r="A7" s="6" t="inlineStr">
        <is>
          <t>OpenQuant goal</t>
        </is>
      </c>
      <c r="B7" s="6" t="inlineStr">
        <is>
          <t>Practical application of the course objective using real listed-company data.</t>
        </is>
      </c>
      <c r="C7" s="2" t="n"/>
      <c r="D7" s="2" t="inlineStr">
        <is>
          <t>Productized concepts</t>
        </is>
      </c>
      <c r="E7" s="7">
        <f>COUNTIF('Concept Inventory'!H5:H200,"Yes")</f>
        <v/>
      </c>
    </row>
    <row r="8" ht="18" customHeight="1">
      <c r="A8" s="6" t="inlineStr">
        <is>
          <t>Current product</t>
        </is>
      </c>
      <c r="B8" s="6" t="inlineStr">
        <is>
          <t>Stock Valuation Lab: what must be true for the current market price to make sense?</t>
        </is>
      </c>
      <c r="C8" s="2" t="n"/>
      <c r="D8" s="2" t="inlineStr">
        <is>
          <t>Productized formulas</t>
        </is>
      </c>
      <c r="E8" s="7">
        <f>COUNTIF('Formula Inventory'!H5:H200,"Yes")</f>
        <v/>
      </c>
    </row>
    <row r="9" ht="18" customHeight="1">
      <c r="A9" s="6" t="inlineStr">
        <is>
          <t>Core output</t>
        </is>
      </c>
      <c r="B9" s="6" t="inlineStr">
        <is>
          <t>Real-data valuation insight supported by assumptions, formulas, suitability checks, and reliability evidence.</t>
        </is>
      </c>
      <c r="C9" s="2" t="n"/>
      <c r="D9" s="2" t="inlineStr">
        <is>
          <t>Missing / later items</t>
        </is>
      </c>
      <c r="E9" s="7">
        <f>COUNTA('Missing Coverage'!B5:B200)</f>
        <v/>
      </c>
    </row>
    <row r="10" ht="18" customHeight="1">
      <c r="A10" s="6" t="inlineStr">
        <is>
          <t>Backtest role</t>
        </is>
      </c>
      <c r="B10" s="6" t="inlineStr">
        <is>
          <t>Historical authenticity layer: past OpenQuant conclusions are compared with later observed data.</t>
        </is>
      </c>
      <c r="C10" s="2" t="n"/>
      <c r="D10" s="2" t="n"/>
      <c r="E10" s="2" t="n"/>
    </row>
    <row r="11" ht="18" customHeight="1">
      <c r="A11" s="6" t="inlineStr">
        <is>
          <t>Formula role</t>
        </is>
      </c>
      <c r="B11" s="6" t="inlineStr">
        <is>
          <t>Formulas are implementation tools and evidence, not the final product.</t>
        </is>
      </c>
      <c r="C11" s="2" t="n"/>
      <c r="D11" s="2" t="n"/>
      <c r="E11" s="2" t="n"/>
    </row>
    <row r="12" ht="18" customHeight="1">
      <c r="A12" s="6" t="inlineStr">
        <is>
          <t>Current out of scope</t>
        </is>
      </c>
      <c r="B12" s="6" t="inlineStr">
        <is>
          <t>Derivatives; bonds/rates lab; portfolio lab; project decision lab; full capital-structure policy lab. (These are now covered as teaching cards in the companion deck, though not yet as data-driven labs.)</t>
        </is>
      </c>
      <c r="C12" s="2" t="n"/>
      <c r="D12" s="2" t="n"/>
      <c r="E12" s="2" t="n"/>
    </row>
    <row r="13" ht="18" customHeight="1">
      <c r="A13" s="6" t="inlineStr">
        <is>
          <t>Next product direction</t>
        </is>
      </c>
      <c r="B13" s="6" t="inlineStr">
        <is>
          <t>Make market-implied assumptions the first-class output; keep fair value as a derived view.</t>
        </is>
      </c>
      <c r="C13" s="2" t="n"/>
      <c r="D13" s="2" t="n"/>
      <c r="E13" s="2" t="n"/>
    </row>
    <row r="14">
      <c r="A14" s="6" t="inlineStr">
        <is>
          <t>Companion deck</t>
        </is>
      </c>
      <c r="B14" s="6" t="inlineStr">
        <is>
          <t>Interactive teaching deck (frontend/public/companion.html): the EPFL Principles of Finance course as 51 cards (one idea, one visual, one live formula each). Distinct from the data-driven valuation lab. Published to GitHub Pages from the gh-pages branch as index.html (manual deploy, no CI).</t>
        </is>
      </c>
    </row>
    <row r="15">
      <c r="A15" s="6" t="inlineStr">
        <is>
          <t>Companion coverage</t>
        </is>
      </c>
      <c r="B15" s="6" t="inlineStr">
        <is>
          <t>51 cards across H1-H4 give full 1:1 coverage of every formula on the EPFL final formula sheet. Per-formula mapping in Formula Inventory, column "Companion deck card". Updated 2026-06-24.</t>
        </is>
      </c>
    </row>
  </sheetData>
  <autoFilter ref="A4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8" customWidth="1" min="4" max="4"/>
    <col width="14" customWidth="1" min="5" max="5"/>
    <col width="12" customWidth="1" min="6" max="6"/>
    <col width="18" customWidth="1" min="7" max="7"/>
    <col width="18" customWidth="1" min="8" max="8"/>
    <col width="18" customWidth="1" min="9" max="9"/>
    <col width="48" customWidth="1" min="10" max="10"/>
  </cols>
  <sheetData>
    <row r="1" ht="24" customHeight="1">
      <c r="A1" s="1" t="inlineStr">
        <is>
          <t>Concept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Course notions and competencies mapped to OpenQuant implementation and product scope.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8" customHeight="1">
      <c r="A4" s="4" t="inlineStr">
        <is>
          <t>Course block</t>
        </is>
      </c>
      <c r="B4" s="4" t="inlineStr">
        <is>
          <t>Concept / competency</t>
        </is>
      </c>
      <c r="C4" s="4" t="inlineStr">
        <is>
          <t>Why it matters</t>
        </is>
      </c>
      <c r="D4" s="4" t="inlineStr">
        <is>
          <t>Source</t>
        </is>
      </c>
      <c r="E4" s="4" t="inlineStr">
        <is>
          <t>Exam tested?</t>
        </is>
      </c>
      <c r="F4" s="4" t="inlineStr">
        <is>
          <t>Workbook?</t>
        </is>
      </c>
      <c r="G4" s="4" t="inlineStr">
        <is>
          <t>OpenQuant implemented?</t>
        </is>
      </c>
      <c r="H4" s="4" t="inlineStr">
        <is>
          <t>OpenQuant productized?</t>
        </is>
      </c>
      <c r="I4" s="4" t="inlineStr">
        <is>
          <t>Should productize?</t>
        </is>
      </c>
      <c r="J4" s="4" t="inlineStr">
        <is>
          <t>Notes</t>
        </is>
      </c>
    </row>
    <row r="5" ht="18" customHeight="1">
      <c r="A5" s="6" t="inlineStr">
        <is>
          <t>Course identity</t>
        </is>
      </c>
      <c r="B5" s="6" t="inlineStr">
        <is>
          <t>Principles of Finance, likely based on Berk &amp; DeMarzo Corporate Finance, 2nd ed.</t>
        </is>
      </c>
      <c r="C5" s="6" t="inlineStr">
        <is>
          <t>Course anchor</t>
        </is>
      </c>
      <c r="D5" s="6" t="inlineStr">
        <is>
          <t>Notes / workbook</t>
        </is>
      </c>
      <c r="E5" s="8" t="inlineStr">
        <is>
          <t>No</t>
        </is>
      </c>
      <c r="F5" s="8" t="inlineStr">
        <is>
          <t>No</t>
        </is>
      </c>
      <c r="G5" s="6" t="inlineStr">
        <is>
          <t>Reference</t>
        </is>
      </c>
      <c r="H5" s="8" t="inlineStr">
        <is>
          <t>No</t>
        </is>
      </c>
      <c r="I5" s="8" t="inlineStr">
        <is>
          <t>No</t>
        </is>
      </c>
      <c r="J5" s="6" t="inlineStr">
        <is>
          <t>Reference row only</t>
        </is>
      </c>
    </row>
    <row r="6" ht="18" customHeight="1">
      <c r="A6" s="6" t="inlineStr">
        <is>
          <t>Official objective</t>
        </is>
      </c>
      <c r="B6" s="6" t="inlineStr">
        <is>
          <t>Financial valuation and value enhancement through financial decision making</t>
        </is>
      </c>
      <c r="C6" s="6" t="inlineStr">
        <is>
          <t>Final course objective</t>
        </is>
      </c>
      <c r="D6" s="6" t="inlineStr">
        <is>
          <t>Official course slide/objective</t>
        </is>
      </c>
      <c r="E6" s="9" t="inlineStr">
        <is>
          <t>Yes</t>
        </is>
      </c>
      <c r="F6" s="9" t="inlineStr">
        <is>
          <t>Yes</t>
        </is>
      </c>
      <c r="G6" s="10" t="inlineStr">
        <is>
          <t>Partial</t>
        </is>
      </c>
      <c r="H6" s="10" t="inlineStr">
        <is>
          <t>Partial</t>
        </is>
      </c>
      <c r="I6" s="9" t="inlineStr">
        <is>
          <t>Yes</t>
        </is>
      </c>
      <c r="J6" s="6" t="inlineStr">
        <is>
          <t>OpenQuant covers the listed-company valuation subset today</t>
        </is>
      </c>
    </row>
    <row r="7" ht="18" customHeight="1">
      <c r="A7" s="6" t="inlineStr">
        <is>
          <t>Product objective</t>
        </is>
      </c>
      <c r="B7" s="6" t="inlineStr">
        <is>
          <t>Apply the course objective to real listed-company data</t>
        </is>
      </c>
      <c r="C7" s="6" t="inlineStr">
        <is>
          <t>OpenQuant goal</t>
        </is>
      </c>
      <c r="D7" s="6" t="inlineStr">
        <is>
          <t>README / strategy</t>
        </is>
      </c>
      <c r="E7" s="8" t="inlineStr">
        <is>
          <t>No</t>
        </is>
      </c>
      <c r="F7" s="8" t="inlineStr">
        <is>
          <t>No</t>
        </is>
      </c>
      <c r="G7" s="9" t="inlineStr">
        <is>
          <t>Yes</t>
        </is>
      </c>
      <c r="H7" s="9" t="inlineStr">
        <is>
          <t>Yes</t>
        </is>
      </c>
      <c r="I7" s="9" t="inlineStr">
        <is>
          <t>Yes</t>
        </is>
      </c>
      <c r="J7" s="6" t="inlineStr">
        <is>
          <t>This is the current product spine</t>
        </is>
      </c>
    </row>
    <row r="8" ht="18" customHeight="1">
      <c r="A8" s="6" t="inlineStr">
        <is>
          <t>Authenticity layer</t>
        </is>
      </c>
      <c r="B8" s="6" t="inlineStr">
        <is>
          <t>Backtest past OpenQuant conclusions against later historical data</t>
        </is>
      </c>
      <c r="C8" s="6" t="inlineStr">
        <is>
          <t>Product validation</t>
        </is>
      </c>
      <c r="D8" s="6" t="inlineStr">
        <is>
          <t>backtest/ + tests</t>
        </is>
      </c>
      <c r="E8" s="8" t="inlineStr">
        <is>
          <t>No</t>
        </is>
      </c>
      <c r="F8" s="8" t="inlineStr">
        <is>
          <t>No</t>
        </is>
      </c>
      <c r="G8" s="9" t="inlineStr">
        <is>
          <t>Yes</t>
        </is>
      </c>
      <c r="H8" s="9" t="inlineStr">
        <is>
          <t>Yes</t>
        </is>
      </c>
      <c r="I8" s="9" t="inlineStr">
        <is>
          <t>Yes</t>
        </is>
      </c>
      <c r="J8" s="6" t="inlineStr">
        <is>
          <t>Backtests validate informativeness, not formula correctness</t>
        </is>
      </c>
    </row>
    <row r="9" ht="18" customHeight="1">
      <c r="A9" s="6" t="inlineStr">
        <is>
          <t>Time value</t>
        </is>
      </c>
      <c r="B9" s="6" t="inlineStr">
        <is>
          <t>Present value / future value / discounting</t>
        </is>
      </c>
      <c r="C9" s="6" t="inlineStr">
        <is>
          <t>Foundation for valuation</t>
        </is>
      </c>
      <c r="D9" s="6" t="inlineStr">
        <is>
          <t>Formula sheet, workbook, exams</t>
        </is>
      </c>
      <c r="E9" s="9" t="inlineStr">
        <is>
          <t>Yes</t>
        </is>
      </c>
      <c r="F9" s="9" t="inlineStr">
        <is>
          <t>Yes</t>
        </is>
      </c>
      <c r="G9" s="9" t="inlineStr">
        <is>
          <t>Yes</t>
        </is>
      </c>
      <c r="H9" s="9" t="inlineStr">
        <is>
          <t>Yes</t>
        </is>
      </c>
      <c r="I9" s="8" t="inlineStr">
        <is>
          <t>No</t>
        </is>
      </c>
      <c r="J9" s="6" t="inlineStr">
        <is>
          <t>Used behind DCF; no standalone TVM lab</t>
        </is>
      </c>
    </row>
    <row r="10" ht="18" customHeight="1">
      <c r="A10" s="6" t="inlineStr">
        <is>
          <t>Time value</t>
        </is>
      </c>
      <c r="B10" s="6" t="inlineStr">
        <is>
          <t>Perpetuity and growing perpetuity</t>
        </is>
      </c>
      <c r="C10" s="6" t="inlineStr">
        <is>
          <t>Terminal value and stock valuation</t>
        </is>
      </c>
      <c r="D10" s="6" t="inlineStr">
        <is>
          <t>Formula sheet, workbook, exams</t>
        </is>
      </c>
      <c r="E10" s="9" t="inlineStr">
        <is>
          <t>Yes</t>
        </is>
      </c>
      <c r="F10" s="9" t="inlineStr">
        <is>
          <t>Yes</t>
        </is>
      </c>
      <c r="G10" s="9" t="inlineStr">
        <is>
          <t>Yes</t>
        </is>
      </c>
      <c r="H10" s="9" t="inlineStr">
        <is>
          <t>Yes</t>
        </is>
      </c>
      <c r="I10" s="8" t="inlineStr">
        <is>
          <t>No</t>
        </is>
      </c>
      <c r="J10" s="6" t="inlineStr">
        <is>
          <t>Used directly in terminal value and DDM tests</t>
        </is>
      </c>
    </row>
    <row r="11" ht="18" customHeight="1">
      <c r="A11" s="6" t="inlineStr">
        <is>
          <t>Time value</t>
        </is>
      </c>
      <c r="B11" s="6" t="inlineStr">
        <is>
          <t>Annuity and growing annuity</t>
        </is>
      </c>
      <c r="C11" s="6" t="inlineStr">
        <is>
          <t>Multi-period cash-flow valuation</t>
        </is>
      </c>
      <c r="D11" s="6" t="inlineStr">
        <is>
          <t>Formula sheet, workbook, exams</t>
        </is>
      </c>
      <c r="E11" s="9" t="inlineStr">
        <is>
          <t>Yes</t>
        </is>
      </c>
      <c r="F11" s="9" t="inlineStr">
        <is>
          <t>Yes</t>
        </is>
      </c>
      <c r="G11" s="10" t="inlineStr">
        <is>
          <t>Partial</t>
        </is>
      </c>
      <c r="H11" s="8" t="inlineStr">
        <is>
          <t>No</t>
        </is>
      </c>
      <c r="I11" s="10" t="inlineStr">
        <is>
          <t>Later</t>
        </is>
      </c>
      <c r="J11" s="6" t="inlineStr">
        <is>
          <t>Growing annuity is implemented/tested; plain annuity is not a reusable function</t>
        </is>
      </c>
    </row>
    <row r="12" ht="18" customHeight="1">
      <c r="A12" s="6" t="inlineStr">
        <is>
          <t>Rates</t>
        </is>
      </c>
      <c r="B12" s="6" t="inlineStr">
        <is>
          <t>Rate conversion and compounding frequency</t>
        </is>
      </c>
      <c r="C12" s="6" t="inlineStr">
        <is>
          <t>Equivalent rates and discounting</t>
        </is>
      </c>
      <c r="D12" s="6" t="inlineStr">
        <is>
          <t>Formula sheet, workbook, exams</t>
        </is>
      </c>
      <c r="E12" s="9" t="inlineStr">
        <is>
          <t>Yes</t>
        </is>
      </c>
      <c r="F12" s="9" t="inlineStr">
        <is>
          <t>Yes</t>
        </is>
      </c>
      <c r="G12" s="8" t="inlineStr">
        <is>
          <t>No</t>
        </is>
      </c>
      <c r="H12" s="8" t="inlineStr">
        <is>
          <t>No</t>
        </is>
      </c>
      <c r="I12" s="10" t="inlineStr">
        <is>
          <t>Later</t>
        </is>
      </c>
      <c r="J12" s="6" t="inlineStr">
        <is>
          <t>Useful for Bonds/Rates Lab, not current stock product</t>
        </is>
      </c>
    </row>
    <row r="13" ht="18" customHeight="1">
      <c r="A13" s="6" t="inlineStr">
        <is>
          <t>Rates</t>
        </is>
      </c>
      <c r="B13" s="6" t="inlineStr">
        <is>
          <t>Spot rates and forward rates</t>
        </is>
      </c>
      <c r="C13" s="6" t="inlineStr">
        <is>
          <t>No-arbitrage rates</t>
        </is>
      </c>
      <c r="D13" s="6" t="inlineStr">
        <is>
          <t>Formula sheet, workbook, exams</t>
        </is>
      </c>
      <c r="E13" s="9" t="inlineStr">
        <is>
          <t>Yes</t>
        </is>
      </c>
      <c r="F13" s="9" t="inlineStr">
        <is>
          <t>Yes</t>
        </is>
      </c>
      <c r="G13" s="8" t="inlineStr">
        <is>
          <t>No</t>
        </is>
      </c>
      <c r="H13" s="8" t="inlineStr">
        <is>
          <t>No</t>
        </is>
      </c>
      <c r="I13" s="10" t="inlineStr">
        <is>
          <t>Later</t>
        </is>
      </c>
      <c r="J13" s="6" t="inlineStr">
        <is>
          <t>Bonds/Rates Lab</t>
        </is>
      </c>
    </row>
    <row r="14" ht="18" customHeight="1">
      <c r="A14" s="6" t="inlineStr">
        <is>
          <t>Bonds</t>
        </is>
      </c>
      <c r="B14" s="6" t="inlineStr">
        <is>
          <t>Bond pricing and yield to maturity</t>
        </is>
      </c>
      <c r="C14" s="6" t="inlineStr">
        <is>
          <t>Debt valuation</t>
        </is>
      </c>
      <c r="D14" s="6" t="inlineStr">
        <is>
          <t>Formula sheet, workbook, exams</t>
        </is>
      </c>
      <c r="E14" s="9" t="inlineStr">
        <is>
          <t>Yes</t>
        </is>
      </c>
      <c r="F14" s="9" t="inlineStr">
        <is>
          <t>Yes</t>
        </is>
      </c>
      <c r="G14" s="8" t="inlineStr">
        <is>
          <t>No</t>
        </is>
      </c>
      <c r="H14" s="8" t="inlineStr">
        <is>
          <t>No</t>
        </is>
      </c>
      <c r="I14" s="10" t="inlineStr">
        <is>
          <t>Later</t>
        </is>
      </c>
      <c r="J14" s="6" t="inlineStr">
        <is>
          <t>Could appear as demonstration, not core stock product</t>
        </is>
      </c>
    </row>
    <row r="15" ht="18" customHeight="1">
      <c r="A15" s="6" t="inlineStr">
        <is>
          <t>Bonds</t>
        </is>
      </c>
      <c r="B15" s="6" t="inlineStr">
        <is>
          <t>Duration and price sensitivity</t>
        </is>
      </c>
      <c r="C15" s="6" t="inlineStr">
        <is>
          <t>Interest-rate risk</t>
        </is>
      </c>
      <c r="D15" s="6" t="inlineStr">
        <is>
          <t>Formula sheet, workbook</t>
        </is>
      </c>
      <c r="E15" s="8" t="inlineStr">
        <is>
          <t>No</t>
        </is>
      </c>
      <c r="F15" s="9" t="inlineStr">
        <is>
          <t>Yes</t>
        </is>
      </c>
      <c r="G15" s="8" t="inlineStr">
        <is>
          <t>No</t>
        </is>
      </c>
      <c r="H15" s="8" t="inlineStr">
        <is>
          <t>No</t>
        </is>
      </c>
      <c r="I15" s="10" t="inlineStr">
        <is>
          <t>Later</t>
        </is>
      </c>
      <c r="J15" s="6" t="inlineStr">
        <is>
          <t>Bonds/Rates Lab</t>
        </is>
      </c>
    </row>
    <row r="16" ht="18" customHeight="1">
      <c r="A16" s="6" t="inlineStr">
        <is>
          <t>Statistics</t>
        </is>
      </c>
      <c r="B16" s="6" t="inlineStr">
        <is>
          <t>Expected return, variance, standard deviation</t>
        </is>
      </c>
      <c r="C16" s="6" t="inlineStr">
        <is>
          <t>Risk measurement</t>
        </is>
      </c>
      <c r="D16" s="6" t="inlineStr">
        <is>
          <t>Formula sheet, workbook, exams</t>
        </is>
      </c>
      <c r="E16" s="9" t="inlineStr">
        <is>
          <t>Yes</t>
        </is>
      </c>
      <c r="F16" s="9" t="inlineStr">
        <is>
          <t>Yes</t>
        </is>
      </c>
      <c r="G16" s="10" t="inlineStr">
        <is>
          <t>Partial</t>
        </is>
      </c>
      <c r="H16" s="8" t="inlineStr">
        <is>
          <t>No</t>
        </is>
      </c>
      <c r="I16" s="10" t="inlineStr">
        <is>
          <t>Later</t>
        </is>
      </c>
      <c r="J16" s="6" t="inlineStr">
        <is>
          <t>Volatility helpers exist; expected return/variance are test calculations, not reusable product functions</t>
        </is>
      </c>
    </row>
    <row r="17" ht="18" customHeight="1">
      <c r="A17" s="6" t="inlineStr">
        <is>
          <t>Statistics</t>
        </is>
      </c>
      <c r="B17" s="6" t="inlineStr">
        <is>
          <t>Covariance and correlation</t>
        </is>
      </c>
      <c r="C17" s="6" t="inlineStr">
        <is>
          <t>Co-movement and diversification</t>
        </is>
      </c>
      <c r="D17" s="6" t="inlineStr">
        <is>
          <t>Formula sheet, workbook, exams</t>
        </is>
      </c>
      <c r="E17" s="9" t="inlineStr">
        <is>
          <t>Yes</t>
        </is>
      </c>
      <c r="F17" s="9" t="inlineStr">
        <is>
          <t>Yes</t>
        </is>
      </c>
      <c r="G17" s="10" t="inlineStr">
        <is>
          <t>Partial</t>
        </is>
      </c>
      <c r="H17" s="8" t="inlineStr">
        <is>
          <t>No</t>
        </is>
      </c>
      <c r="I17" s="10" t="inlineStr">
        <is>
          <t>Later</t>
        </is>
      </c>
      <c r="J17" s="6" t="inlineStr">
        <is>
          <t>Covariance is used for beta; correlation is only an input helper/test item</t>
        </is>
      </c>
    </row>
    <row r="18" ht="18" customHeight="1">
      <c r="A18" s="6" t="inlineStr">
        <is>
          <t>Portfolio</t>
        </is>
      </c>
      <c r="B18" s="6" t="inlineStr">
        <is>
          <t>Portfolio expected return and variance</t>
        </is>
      </c>
      <c r="C18" s="6" t="inlineStr">
        <is>
          <t>Diversification and portfolio risk</t>
        </is>
      </c>
      <c r="D18" s="6" t="inlineStr">
        <is>
          <t>Formula sheet, workbook, exams</t>
        </is>
      </c>
      <c r="E18" s="9" t="inlineStr">
        <is>
          <t>Yes</t>
        </is>
      </c>
      <c r="F18" s="9" t="inlineStr">
        <is>
          <t>Yes</t>
        </is>
      </c>
      <c r="G18" s="10" t="inlineStr">
        <is>
          <t>Partial</t>
        </is>
      </c>
      <c r="H18" s="8" t="inlineStr">
        <is>
          <t>No</t>
        </is>
      </c>
      <c r="I18" s="10" t="inlineStr">
        <is>
          <t>Later</t>
        </is>
      </c>
      <c r="J18" s="6" t="inlineStr">
        <is>
          <t>Some formulas are test calculations; no portfolio product module exists</t>
        </is>
      </c>
    </row>
    <row r="19" ht="18" customHeight="1">
      <c r="A19" s="6" t="inlineStr">
        <is>
          <t>Portfolio</t>
        </is>
      </c>
      <c r="B19" s="6" t="inlineStr">
        <is>
          <t>Minimum variance portfolio</t>
        </is>
      </c>
      <c r="C19" s="6" t="inlineStr">
        <is>
          <t>Optimization under risk</t>
        </is>
      </c>
      <c r="D19" s="6" t="inlineStr">
        <is>
          <t>Workbook, exams</t>
        </is>
      </c>
      <c r="E19" s="9" t="inlineStr">
        <is>
          <t>Yes</t>
        </is>
      </c>
      <c r="F19" s="9" t="inlineStr">
        <is>
          <t>Yes</t>
        </is>
      </c>
      <c r="G19" s="9" t="inlineStr">
        <is>
          <t>Yes</t>
        </is>
      </c>
      <c r="H19" s="8" t="inlineStr">
        <is>
          <t>No</t>
        </is>
      </c>
      <c r="I19" s="10" t="inlineStr">
        <is>
          <t>Later</t>
        </is>
      </c>
      <c r="J19" s="6" t="inlineStr">
        <is>
          <t>Implemented/tested; no UI</t>
        </is>
      </c>
    </row>
    <row r="20" ht="18" customHeight="1">
      <c r="A20" s="6" t="inlineStr">
        <is>
          <t>Portfolio</t>
        </is>
      </c>
      <c r="B20" s="6" t="inlineStr">
        <is>
          <t>Efficient frontier / CML / Sharpe</t>
        </is>
      </c>
      <c r="C20" s="6" t="inlineStr">
        <is>
          <t>Risk-adjusted allocation</t>
        </is>
      </c>
      <c r="D20" s="6" t="inlineStr">
        <is>
          <t>Notes, formula sheet, workbook, exams</t>
        </is>
      </c>
      <c r="E20" s="9" t="inlineStr">
        <is>
          <t>Yes</t>
        </is>
      </c>
      <c r="F20" s="9" t="inlineStr">
        <is>
          <t>Yes</t>
        </is>
      </c>
      <c r="G20" s="10" t="inlineStr">
        <is>
          <t>Partial</t>
        </is>
      </c>
      <c r="H20" s="8" t="inlineStr">
        <is>
          <t>No</t>
        </is>
      </c>
      <c r="I20" s="10" t="inlineStr">
        <is>
          <t>Later</t>
        </is>
      </c>
      <c r="J20" s="6" t="inlineStr">
        <is>
          <t>Sharpe implemented; CML/frontier are not implemented/productized</t>
        </is>
      </c>
    </row>
    <row r="21" ht="18" customHeight="1">
      <c r="A21" s="6" t="inlineStr">
        <is>
          <t>CAPM</t>
        </is>
      </c>
      <c r="B21" s="6" t="inlineStr">
        <is>
          <t>Beta and systematic risk</t>
        </is>
      </c>
      <c r="C21" s="6" t="inlineStr">
        <is>
          <t>Required return under market risk</t>
        </is>
      </c>
      <c r="D21" s="6" t="inlineStr">
        <is>
          <t>Formula sheet, workbook, exams</t>
        </is>
      </c>
      <c r="E21" s="9" t="inlineStr">
        <is>
          <t>Yes</t>
        </is>
      </c>
      <c r="F21" s="9" t="inlineStr">
        <is>
          <t>Yes</t>
        </is>
      </c>
      <c r="G21" s="9" t="inlineStr">
        <is>
          <t>Yes</t>
        </is>
      </c>
      <c r="H21" s="9" t="inlineStr">
        <is>
          <t>Yes</t>
        </is>
      </c>
      <c r="I21" s="9" t="inlineStr">
        <is>
          <t>Yes</t>
        </is>
      </c>
      <c r="J21" s="6" t="inlineStr">
        <is>
          <t>Used in WACC and current stock valuation</t>
        </is>
      </c>
    </row>
    <row r="22" ht="18" customHeight="1">
      <c r="A22" s="6" t="inlineStr">
        <is>
          <t>CAPM</t>
        </is>
      </c>
      <c r="B22" s="6" t="inlineStr">
        <is>
          <t>CAPM required return</t>
        </is>
      </c>
      <c r="C22" s="6" t="inlineStr">
        <is>
          <t>Cost of equity</t>
        </is>
      </c>
      <c r="D22" s="6" t="inlineStr">
        <is>
          <t>Formula sheet, workbook, exams</t>
        </is>
      </c>
      <c r="E22" s="9" t="inlineStr">
        <is>
          <t>Yes</t>
        </is>
      </c>
      <c r="F22" s="9" t="inlineStr">
        <is>
          <t>Yes</t>
        </is>
      </c>
      <c r="G22" s="9" t="inlineStr">
        <is>
          <t>Yes</t>
        </is>
      </c>
      <c r="H22" s="9" t="inlineStr">
        <is>
          <t>Yes</t>
        </is>
      </c>
      <c r="I22" s="9" t="inlineStr">
        <is>
          <t>Yes</t>
        </is>
      </c>
      <c r="J22" s="6" t="inlineStr">
        <is>
          <t>Core current product input</t>
        </is>
      </c>
    </row>
    <row r="23" ht="18" customHeight="1">
      <c r="A23" s="6" t="inlineStr">
        <is>
          <t>CAPM</t>
        </is>
      </c>
      <c r="B23" s="6" t="inlineStr">
        <is>
          <t>Alpha and SML interpretation</t>
        </is>
      </c>
      <c r="C23" s="6" t="inlineStr">
        <is>
          <t>Performance vs required return</t>
        </is>
      </c>
      <c r="D23" s="6" t="inlineStr">
        <is>
          <t>Notes, workbook</t>
        </is>
      </c>
      <c r="E23" s="10" t="inlineStr">
        <is>
          <t>Maybe</t>
        </is>
      </c>
      <c r="F23" s="9" t="inlineStr">
        <is>
          <t>Yes</t>
        </is>
      </c>
      <c r="G23" s="8" t="inlineStr">
        <is>
          <t>No</t>
        </is>
      </c>
      <c r="H23" s="8" t="inlineStr">
        <is>
          <t>No</t>
        </is>
      </c>
      <c r="I23" s="10" t="inlineStr">
        <is>
          <t>Later</t>
        </is>
      </c>
      <c r="J23" s="6" t="inlineStr">
        <is>
          <t>Useful for Portfolio Lab, not current flow</t>
        </is>
      </c>
    </row>
    <row r="24" ht="18" customHeight="1">
      <c r="A24" s="6" t="inlineStr">
        <is>
          <t>Capital structure</t>
        </is>
      </c>
      <c r="B24" s="6" t="inlineStr">
        <is>
          <t>WACC</t>
        </is>
      </c>
      <c r="C24" s="6" t="inlineStr">
        <is>
          <t>Discount rate for enterprise cash flows</t>
        </is>
      </c>
      <c r="D24" s="6" t="inlineStr">
        <is>
          <t>Formula sheet, workbook, exams</t>
        </is>
      </c>
      <c r="E24" s="9" t="inlineStr">
        <is>
          <t>Yes</t>
        </is>
      </c>
      <c r="F24" s="9" t="inlineStr">
        <is>
          <t>Yes</t>
        </is>
      </c>
      <c r="G24" s="9" t="inlineStr">
        <is>
          <t>Yes</t>
        </is>
      </c>
      <c r="H24" s="9" t="inlineStr">
        <is>
          <t>Yes</t>
        </is>
      </c>
      <c r="I24" s="9" t="inlineStr">
        <is>
          <t>Yes</t>
        </is>
      </c>
      <c r="J24" s="6" t="inlineStr">
        <is>
          <t>Core current product input</t>
        </is>
      </c>
    </row>
    <row r="25" ht="18" customHeight="1">
      <c r="A25" s="6" t="inlineStr">
        <is>
          <t>Capital structure</t>
        </is>
      </c>
      <c r="B25" s="6" t="inlineStr">
        <is>
          <t>Unlever/relever beta</t>
        </is>
      </c>
      <c r="C25" s="6" t="inlineStr">
        <is>
          <t>Adjust risk for leverage</t>
        </is>
      </c>
      <c r="D25" s="6" t="inlineStr">
        <is>
          <t>Formula sheet, workbook, exams</t>
        </is>
      </c>
      <c r="E25" s="9" t="inlineStr">
        <is>
          <t>Yes</t>
        </is>
      </c>
      <c r="F25" s="9" t="inlineStr">
        <is>
          <t>Yes</t>
        </is>
      </c>
      <c r="G25" s="10" t="inlineStr">
        <is>
          <t>Partial</t>
        </is>
      </c>
      <c r="H25" s="8" t="inlineStr">
        <is>
          <t>No</t>
        </is>
      </c>
      <c r="I25" s="10" t="inlineStr">
        <is>
          <t>Later</t>
        </is>
      </c>
      <c r="J25" s="6" t="inlineStr">
        <is>
          <t>Unlevering is implemented/tested; relevering is not separately implemented or visible</t>
        </is>
      </c>
    </row>
    <row r="26" ht="18" customHeight="1">
      <c r="A26" s="6" t="inlineStr">
        <is>
          <t>Capital structure</t>
        </is>
      </c>
      <c r="B26" s="6" t="inlineStr">
        <is>
          <t>Modigliani-Miller propositions</t>
        </is>
      </c>
      <c r="C26" s="6" t="inlineStr">
        <is>
          <t>Capital-structure policy reasoning</t>
        </is>
      </c>
      <c r="D26" s="6" t="inlineStr">
        <is>
          <t>Formula sheet, workbook, exams</t>
        </is>
      </c>
      <c r="E26" s="9" t="inlineStr">
        <is>
          <t>Yes</t>
        </is>
      </c>
      <c r="F26" s="9" t="inlineStr">
        <is>
          <t>Yes</t>
        </is>
      </c>
      <c r="G26" s="8" t="inlineStr">
        <is>
          <t>No</t>
        </is>
      </c>
      <c r="H26" s="8" t="inlineStr">
        <is>
          <t>No</t>
        </is>
      </c>
      <c r="I26" s="10" t="inlineStr">
        <is>
          <t>Later</t>
        </is>
      </c>
      <c r="J26" s="6" t="inlineStr">
        <is>
          <t>Theory in course/exams, but not an OpenQuant product flow</t>
        </is>
      </c>
    </row>
    <row r="27" ht="18" customHeight="1">
      <c r="A27" s="6" t="inlineStr">
        <is>
          <t>Capital structure</t>
        </is>
      </c>
      <c r="B27" s="6" t="inlineStr">
        <is>
          <t>APV and PV tax shield</t>
        </is>
      </c>
      <c r="C27" s="6" t="inlineStr">
        <is>
          <t>Separate operating value from financing effects</t>
        </is>
      </c>
      <c r="D27" s="6" t="inlineStr">
        <is>
          <t>Formula sheet, workbook, exams</t>
        </is>
      </c>
      <c r="E27" s="9" t="inlineStr">
        <is>
          <t>Yes</t>
        </is>
      </c>
      <c r="F27" s="9" t="inlineStr">
        <is>
          <t>Yes</t>
        </is>
      </c>
      <c r="G27" s="10" t="inlineStr">
        <is>
          <t>Partial</t>
        </is>
      </c>
      <c r="H27" s="8" t="inlineStr">
        <is>
          <t>No</t>
        </is>
      </c>
      <c r="I27" s="10" t="inlineStr">
        <is>
          <t>Later</t>
        </is>
      </c>
      <c r="J27" s="6" t="inlineStr">
        <is>
          <t>PVTS helper exists; APV not productized</t>
        </is>
      </c>
    </row>
    <row r="28" ht="18" customHeight="1">
      <c r="A28" s="6" t="inlineStr">
        <is>
          <t>Capital structure</t>
        </is>
      </c>
      <c r="B28" s="6" t="inlineStr">
        <is>
          <t>Bankruptcy / distress trade-off</t>
        </is>
      </c>
      <c r="C28" s="6" t="inlineStr">
        <is>
          <t>Limits of debt financing</t>
        </is>
      </c>
      <c r="D28" s="6" t="inlineStr">
        <is>
          <t>Formula sheet, workbook, exams</t>
        </is>
      </c>
      <c r="E28" s="9" t="inlineStr">
        <is>
          <t>Yes</t>
        </is>
      </c>
      <c r="F28" s="9" t="inlineStr">
        <is>
          <t>Yes</t>
        </is>
      </c>
      <c r="G28" s="8" t="inlineStr">
        <is>
          <t>No</t>
        </is>
      </c>
      <c r="H28" s="8" t="inlineStr">
        <is>
          <t>No</t>
        </is>
      </c>
      <c r="I28" s="10" t="inlineStr">
        <is>
          <t>Later</t>
        </is>
      </c>
      <c r="J28" s="6" t="inlineStr">
        <is>
          <t>Needed for full capital-structure lab</t>
        </is>
      </c>
    </row>
    <row r="29" ht="18" customHeight="1">
      <c r="A29" s="6" t="inlineStr">
        <is>
          <t>Cash flows</t>
        </is>
      </c>
      <c r="B29" s="6" t="inlineStr">
        <is>
          <t>Free cash flow from operating components</t>
        </is>
      </c>
      <c r="C29" s="6" t="inlineStr">
        <is>
          <t>Value creation measurement</t>
        </is>
      </c>
      <c r="D29" s="6" t="inlineStr">
        <is>
          <t>Workbook, exams</t>
        </is>
      </c>
      <c r="E29" s="9" t="inlineStr">
        <is>
          <t>Yes</t>
        </is>
      </c>
      <c r="F29" s="9" t="inlineStr">
        <is>
          <t>Yes</t>
        </is>
      </c>
      <c r="G29" s="9" t="inlineStr">
        <is>
          <t>Yes</t>
        </is>
      </c>
      <c r="H29" s="9" t="inlineStr">
        <is>
          <t>Yes</t>
        </is>
      </c>
      <c r="I29" s="9" t="inlineStr">
        <is>
          <t>Yes</t>
        </is>
      </c>
      <c r="J29" s="6" t="inlineStr">
        <is>
          <t>Core current product</t>
        </is>
      </c>
    </row>
    <row r="30" ht="18" customHeight="1">
      <c r="A30" s="6" t="inlineStr">
        <is>
          <t>Cash flows</t>
        </is>
      </c>
      <c r="B30" s="6" t="inlineStr">
        <is>
          <t>Net working capital and change in NWC</t>
        </is>
      </c>
      <c r="C30" s="6" t="inlineStr">
        <is>
          <t>Cash-flow timing and investment needs</t>
        </is>
      </c>
      <c r="D30" s="6" t="inlineStr">
        <is>
          <t>Workbook, exams</t>
        </is>
      </c>
      <c r="E30" s="9" t="inlineStr">
        <is>
          <t>Yes</t>
        </is>
      </c>
      <c r="F30" s="9" t="inlineStr">
        <is>
          <t>Yes</t>
        </is>
      </c>
      <c r="G30" s="10" t="inlineStr">
        <is>
          <t>Partial</t>
        </is>
      </c>
      <c r="H30" s="8" t="inlineStr">
        <is>
          <t>No</t>
        </is>
      </c>
      <c r="I30" s="10" t="inlineStr">
        <is>
          <t>Later</t>
        </is>
      </c>
      <c r="J30" s="6" t="inlineStr">
        <is>
          <t>Used in tests/project reasoning; not exposed in product</t>
        </is>
      </c>
    </row>
    <row r="31" ht="18" customHeight="1">
      <c r="A31" s="6" t="inlineStr">
        <is>
          <t>Valuation</t>
        </is>
      </c>
      <c r="B31" s="6" t="inlineStr">
        <is>
          <t>DCF enterprise value and equity value bridge</t>
        </is>
      </c>
      <c r="C31" s="6" t="inlineStr">
        <is>
          <t>Company valuation</t>
        </is>
      </c>
      <c r="D31" s="6" t="inlineStr">
        <is>
          <t>Formula sheet, workbook, exams</t>
        </is>
      </c>
      <c r="E31" s="9" t="inlineStr">
        <is>
          <t>Yes</t>
        </is>
      </c>
      <c r="F31" s="9" t="inlineStr">
        <is>
          <t>Yes</t>
        </is>
      </c>
      <c r="G31" s="9" t="inlineStr">
        <is>
          <t>Yes</t>
        </is>
      </c>
      <c r="H31" s="9" t="inlineStr">
        <is>
          <t>Yes</t>
        </is>
      </c>
      <c r="I31" s="9" t="inlineStr">
        <is>
          <t>Yes</t>
        </is>
      </c>
      <c r="J31" s="6" t="inlineStr">
        <is>
          <t>Core current product</t>
        </is>
      </c>
    </row>
    <row r="32" ht="18" customHeight="1">
      <c r="A32" s="6" t="inlineStr">
        <is>
          <t>Valuation</t>
        </is>
      </c>
      <c r="B32" s="6" t="inlineStr">
        <is>
          <t>Terminal value</t>
        </is>
      </c>
      <c r="C32" s="6" t="inlineStr">
        <is>
          <t>Long-run value assumption</t>
        </is>
      </c>
      <c r="D32" s="6" t="inlineStr">
        <is>
          <t>Formula sheet, workbook, exams</t>
        </is>
      </c>
      <c r="E32" s="9" t="inlineStr">
        <is>
          <t>Yes</t>
        </is>
      </c>
      <c r="F32" s="9" t="inlineStr">
        <is>
          <t>Yes</t>
        </is>
      </c>
      <c r="G32" s="9" t="inlineStr">
        <is>
          <t>Yes</t>
        </is>
      </c>
      <c r="H32" s="9" t="inlineStr">
        <is>
          <t>Yes</t>
        </is>
      </c>
      <c r="I32" s="9" t="inlineStr">
        <is>
          <t>Yes</t>
        </is>
      </c>
      <c r="J32" s="6" t="inlineStr">
        <is>
          <t>Core current product and key risk</t>
        </is>
      </c>
    </row>
    <row r="33" ht="18" customHeight="1">
      <c r="A33" s="6" t="inlineStr">
        <is>
          <t>Valuation</t>
        </is>
      </c>
      <c r="B33" s="6" t="inlineStr">
        <is>
          <t>Reverse DCF / market-implied growth</t>
        </is>
      </c>
      <c r="C33" s="6" t="inlineStr">
        <is>
          <t>Translate price into assumptions</t>
        </is>
      </c>
      <c r="D33" s="6" t="inlineStr">
        <is>
          <t>OpenQuant product extension</t>
        </is>
      </c>
      <c r="E33" s="8" t="inlineStr">
        <is>
          <t>No</t>
        </is>
      </c>
      <c r="F33" s="8" t="inlineStr">
        <is>
          <t>No</t>
        </is>
      </c>
      <c r="G33" s="9" t="inlineStr">
        <is>
          <t>Yes</t>
        </is>
      </c>
      <c r="H33" s="9" t="inlineStr">
        <is>
          <t>Yes</t>
        </is>
      </c>
      <c r="I33" s="9" t="inlineStr">
        <is>
          <t>Yes</t>
        </is>
      </c>
      <c r="J33" s="6" t="inlineStr">
        <is>
          <t>Central OpenQuant product contribution</t>
        </is>
      </c>
    </row>
    <row r="34" ht="18" customHeight="1">
      <c r="A34" s="6" t="inlineStr">
        <is>
          <t>Valuation</t>
        </is>
      </c>
      <c r="B34" s="6" t="inlineStr">
        <is>
          <t>Sensitivity analysis</t>
        </is>
      </c>
      <c r="C34" s="6" t="inlineStr">
        <is>
          <t>How conclusions change with assumptions</t>
        </is>
      </c>
      <c r="D34" s="6" t="inlineStr">
        <is>
          <t>Workbook / product</t>
        </is>
      </c>
      <c r="E34" s="8" t="inlineStr">
        <is>
          <t>No</t>
        </is>
      </c>
      <c r="F34" s="9" t="inlineStr">
        <is>
          <t>Yes</t>
        </is>
      </c>
      <c r="G34" s="9" t="inlineStr">
        <is>
          <t>Yes</t>
        </is>
      </c>
      <c r="H34" s="9" t="inlineStr">
        <is>
          <t>Yes</t>
        </is>
      </c>
      <c r="I34" s="9" t="inlineStr">
        <is>
          <t>Yes</t>
        </is>
      </c>
      <c r="J34" s="6" t="inlineStr">
        <is>
          <t>Productized as growth x WACC heatmap</t>
        </is>
      </c>
    </row>
    <row r="35" ht="18" customHeight="1">
      <c r="A35" s="6" t="inlineStr">
        <is>
          <t>Valuation</t>
        </is>
      </c>
      <c r="B35" s="6" t="inlineStr">
        <is>
          <t>Multiples sanity check</t>
        </is>
      </c>
      <c r="C35" s="6" t="inlineStr">
        <is>
          <t>Cross-check DCF against market measures</t>
        </is>
      </c>
      <c r="D35" s="6" t="inlineStr">
        <is>
          <t>Product</t>
        </is>
      </c>
      <c r="E35" s="8" t="inlineStr">
        <is>
          <t>No</t>
        </is>
      </c>
      <c r="F35" s="8" t="inlineStr">
        <is>
          <t>No</t>
        </is>
      </c>
      <c r="G35" s="9" t="inlineStr">
        <is>
          <t>Yes</t>
        </is>
      </c>
      <c r="H35" s="9" t="inlineStr">
        <is>
          <t>Yes</t>
        </is>
      </c>
      <c r="I35" s="9" t="inlineStr">
        <is>
          <t>Yes</t>
        </is>
      </c>
      <c r="J35" s="6" t="inlineStr">
        <is>
          <t>Productized, not a core course formula</t>
        </is>
      </c>
    </row>
    <row r="36" ht="18" customHeight="1">
      <c r="A36" s="6" t="inlineStr">
        <is>
          <t>Investment decisions</t>
        </is>
      </c>
      <c r="B36" s="6" t="inlineStr">
        <is>
          <t>NPV vs IRR and scale problem</t>
        </is>
      </c>
      <c r="C36" s="6" t="inlineStr">
        <is>
          <t>Choose value-creating projects</t>
        </is>
      </c>
      <c r="D36" s="6" t="inlineStr">
        <is>
          <t>Formula sheet, workbook, exams</t>
        </is>
      </c>
      <c r="E36" s="9" t="inlineStr">
        <is>
          <t>Yes</t>
        </is>
      </c>
      <c r="F36" s="9" t="inlineStr">
        <is>
          <t>Yes</t>
        </is>
      </c>
      <c r="G36" s="9" t="inlineStr">
        <is>
          <t>Yes</t>
        </is>
      </c>
      <c r="H36" s="8" t="inlineStr">
        <is>
          <t>No</t>
        </is>
      </c>
      <c r="I36" s="10" t="inlineStr">
        <is>
          <t>Later</t>
        </is>
      </c>
      <c r="J36" s="6" t="inlineStr">
        <is>
          <t>Implemented/tested; Project Decision Lab not productized</t>
        </is>
      </c>
    </row>
    <row r="37" ht="18" customHeight="1">
      <c r="A37" s="6" t="inlineStr">
        <is>
          <t>Stocks</t>
        </is>
      </c>
      <c r="B37" s="6" t="inlineStr">
        <is>
          <t>Dividend discount model</t>
        </is>
      </c>
      <c r="C37" s="6" t="inlineStr">
        <is>
          <t>Equity valuation from dividends</t>
        </is>
      </c>
      <c r="D37" s="6" t="inlineStr">
        <is>
          <t>Formula sheet, workbook, exams</t>
        </is>
      </c>
      <c r="E37" s="9" t="inlineStr">
        <is>
          <t>Yes</t>
        </is>
      </c>
      <c r="F37" s="9" t="inlineStr">
        <is>
          <t>Yes</t>
        </is>
      </c>
      <c r="G37" s="9" t="inlineStr">
        <is>
          <t>Yes</t>
        </is>
      </c>
      <c r="H37" s="8" t="inlineStr">
        <is>
          <t>No</t>
        </is>
      </c>
      <c r="I37" s="10" t="inlineStr">
        <is>
          <t>Later</t>
        </is>
      </c>
      <c r="J37" s="6" t="inlineStr">
        <is>
          <t>Implemented/tested but current product uses FCF DCF</t>
        </is>
      </c>
    </row>
    <row r="38" ht="18" customHeight="1">
      <c r="A38" s="6" t="inlineStr">
        <is>
          <t>Stocks</t>
        </is>
      </c>
      <c r="B38" s="6" t="inlineStr">
        <is>
          <t>Buffett/BVPS intrinsic value</t>
        </is>
      </c>
      <c r="C38" s="6" t="inlineStr">
        <is>
          <t>Alternative valuation demonstration</t>
        </is>
      </c>
      <c r="D38" s="6" t="inlineStr">
        <is>
          <t>Workbook</t>
        </is>
      </c>
      <c r="E38" s="8" t="inlineStr">
        <is>
          <t>No</t>
        </is>
      </c>
      <c r="F38" s="9" t="inlineStr">
        <is>
          <t>Yes</t>
        </is>
      </c>
      <c r="G38" s="8" t="inlineStr">
        <is>
          <t>No</t>
        </is>
      </c>
      <c r="H38" s="8" t="inlineStr">
        <is>
          <t>No</t>
        </is>
      </c>
      <c r="I38" s="10" t="inlineStr">
        <is>
          <t>Later</t>
        </is>
      </c>
      <c r="J38" s="6" t="inlineStr">
        <is>
          <t>Can be demo only; not course core objective</t>
        </is>
      </c>
    </row>
    <row r="39" ht="18" customHeight="1">
      <c r="A39" s="6" t="inlineStr">
        <is>
          <t>Derivatives</t>
        </is>
      </c>
      <c r="B39" s="6" t="inlineStr">
        <is>
          <t>Forwards, futures, swaps</t>
        </is>
      </c>
      <c r="C39" s="6" t="inlineStr">
        <is>
          <t>Derivative securities and corporate finance use</t>
        </is>
      </c>
      <c r="D39" s="6" t="inlineStr">
        <is>
          <t>Formula sheet, workbook, exams</t>
        </is>
      </c>
      <c r="E39" s="9" t="inlineStr">
        <is>
          <t>Yes</t>
        </is>
      </c>
      <c r="F39" s="9" t="inlineStr">
        <is>
          <t>Yes</t>
        </is>
      </c>
      <c r="G39" s="8" t="inlineStr">
        <is>
          <t>No</t>
        </is>
      </c>
      <c r="H39" s="8" t="inlineStr">
        <is>
          <t>No</t>
        </is>
      </c>
      <c r="I39" s="10" t="inlineStr">
        <is>
          <t>Only if scope expands</t>
        </is>
      </c>
      <c r="J39" s="6" t="inlineStr">
        <is>
          <t>Confirmed out of current OpenQuant scope</t>
        </is>
      </c>
    </row>
    <row r="40" ht="18" customHeight="1">
      <c r="A40" s="6" t="inlineStr">
        <is>
          <t>Derivatives</t>
        </is>
      </c>
      <c r="B40" s="6" t="inlineStr">
        <is>
          <t>Options, put-call parity, binomial, Black-Scholes</t>
        </is>
      </c>
      <c r="C40" s="6" t="inlineStr">
        <is>
          <t>Derivative pricing and payoff logic</t>
        </is>
      </c>
      <c r="D40" s="6" t="inlineStr">
        <is>
          <t>Formula sheet, workbook, exams</t>
        </is>
      </c>
      <c r="E40" s="9" t="inlineStr">
        <is>
          <t>Yes</t>
        </is>
      </c>
      <c r="F40" s="9" t="inlineStr">
        <is>
          <t>Yes</t>
        </is>
      </c>
      <c r="G40" s="8" t="inlineStr">
        <is>
          <t>No</t>
        </is>
      </c>
      <c r="H40" s="8" t="inlineStr">
        <is>
          <t>No</t>
        </is>
      </c>
      <c r="I40" s="10" t="inlineStr">
        <is>
          <t>Only if scope expands</t>
        </is>
      </c>
      <c r="J40" s="6" t="inlineStr">
        <is>
          <t>Confirmed out of current OpenQuant scope</t>
        </is>
      </c>
    </row>
  </sheetData>
  <autoFilter ref="A4: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14" customWidth="1" min="4" max="4"/>
    <col width="12" customWidth="1" min="5" max="5"/>
    <col width="14" customWidth="1" min="6" max="6"/>
    <col width="20" customWidth="1" min="7" max="7"/>
    <col width="20" customWidth="1" min="8" max="8"/>
    <col width="22" customWidth="1" min="9" max="9"/>
    <col width="18" customWidth="1" min="10" max="10"/>
    <col width="44" customWidth="1" min="11" max="11"/>
    <col width="22" customWidth="1" min="12" max="12"/>
  </cols>
  <sheetData>
    <row r="1" ht="24" customHeight="1">
      <c r="A1" s="1" t="inlineStr">
        <is>
          <t>Formula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n"/>
    </row>
    <row r="2" ht="18" customHeight="1">
      <c r="A2" s="3" t="inlineStr">
        <is>
          <t>Grouped formula inventory from formula sheet, workbook, exams, and OpenQuant implementation.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8" customHeight="1">
      <c r="A4" s="4" t="inlineStr">
        <is>
          <t>Area</t>
        </is>
      </c>
      <c r="B4" s="4" t="inlineStr">
        <is>
          <t>Formula / method</t>
        </is>
      </c>
      <c r="C4" s="4" t="inlineStr">
        <is>
          <t>Formula</t>
        </is>
      </c>
      <c r="D4" s="4" t="inlineStr">
        <is>
          <t>Formula sheet?</t>
        </is>
      </c>
      <c r="E4" s="4" t="inlineStr">
        <is>
          <t>Workbook?</t>
        </is>
      </c>
      <c r="F4" s="4" t="inlineStr">
        <is>
          <t>Sample exams?</t>
        </is>
      </c>
      <c r="G4" s="4" t="inlineStr">
        <is>
          <t>OpenQuant implemented?</t>
        </is>
      </c>
      <c r="H4" s="4" t="inlineStr">
        <is>
          <t>OpenQuant productized?</t>
        </is>
      </c>
      <c r="I4" s="4" t="inlineStr">
        <is>
          <t>Related to current product?</t>
        </is>
      </c>
      <c r="J4" s="4" t="inlineStr">
        <is>
          <t>Should productize?</t>
        </is>
      </c>
      <c r="K4" s="4" t="inlineStr">
        <is>
          <t>Notes</t>
        </is>
      </c>
      <c r="L4" s="4" t="inlineStr">
        <is>
          <t>Companion deck card</t>
        </is>
      </c>
    </row>
    <row r="5" ht="18" customHeight="1">
      <c r="A5" s="6" t="inlineStr">
        <is>
          <t>Time value</t>
        </is>
      </c>
      <c r="B5" s="6" t="inlineStr">
        <is>
          <t>Present value of cash flows</t>
        </is>
      </c>
      <c r="C5" s="6" t="inlineStr">
        <is>
          <t>PV = sum(C_t / (1+r)^t)</t>
        </is>
      </c>
      <c r="D5" s="9" t="inlineStr">
        <is>
          <t>Yes</t>
        </is>
      </c>
      <c r="E5" s="9" t="inlineStr">
        <is>
          <t>Yes</t>
        </is>
      </c>
      <c r="F5" s="9" t="inlineStr">
        <is>
          <t>Yes</t>
        </is>
      </c>
      <c r="G5" s="9" t="inlineStr">
        <is>
          <t>Yes</t>
        </is>
      </c>
      <c r="H5" s="9" t="inlineStr">
        <is>
          <t>Yes</t>
        </is>
      </c>
      <c r="I5" s="9" t="inlineStr">
        <is>
          <t>Yes</t>
        </is>
      </c>
      <c r="J5" s="8" t="inlineStr">
        <is>
          <t>No</t>
        </is>
      </c>
      <c r="K5" s="6" t="inlineStr">
        <is>
          <t>DCF discounting</t>
        </is>
      </c>
      <c r="L5" s="6" t="inlineStr">
        <is>
          <t>pv</t>
        </is>
      </c>
    </row>
    <row r="6" ht="18" customHeight="1">
      <c r="A6" s="6" t="inlineStr">
        <is>
          <t>Time value</t>
        </is>
      </c>
      <c r="B6" s="6" t="inlineStr">
        <is>
          <t>Discount factor</t>
        </is>
      </c>
      <c r="C6" s="6" t="inlineStr">
        <is>
          <t>DF_t = 1 / (1+r)^t</t>
        </is>
      </c>
      <c r="D6" s="9" t="inlineStr">
        <is>
          <t>Yes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Yes</t>
        </is>
      </c>
      <c r="I6" s="9" t="inlineStr">
        <is>
          <t>Yes</t>
        </is>
      </c>
      <c r="J6" s="8" t="inlineStr">
        <is>
          <t>No</t>
        </is>
      </c>
      <c r="K6" s="6" t="inlineStr">
        <is>
          <t>Used internally</t>
        </is>
      </c>
      <c r="L6" s="6" t="inlineStr">
        <is>
          <t>pv (DF)</t>
        </is>
      </c>
    </row>
    <row r="7" ht="18" customHeight="1">
      <c r="A7" s="6" t="inlineStr">
        <is>
          <t>Time value</t>
        </is>
      </c>
      <c r="B7" s="6" t="inlineStr">
        <is>
          <t>Future value factor</t>
        </is>
      </c>
      <c r="C7" s="6" t="inlineStr">
        <is>
          <t>FV = PV x (1+r)^t</t>
        </is>
      </c>
      <c r="D7" s="9" t="inlineStr">
        <is>
          <t>Yes</t>
        </is>
      </c>
      <c r="E7" s="9" t="inlineStr">
        <is>
          <t>Yes</t>
        </is>
      </c>
      <c r="F7" s="9" t="inlineStr">
        <is>
          <t>Yes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8" t="inlineStr">
        <is>
          <t>No</t>
        </is>
      </c>
      <c r="K7" s="6" t="inlineStr">
        <is>
          <t>No current product need</t>
        </is>
      </c>
      <c r="L7" s="6" t="inlineStr">
        <is>
          <t>fv</t>
        </is>
      </c>
    </row>
    <row r="8" ht="18" customHeight="1">
      <c r="A8" s="6" t="inlineStr">
        <is>
          <t>Time value</t>
        </is>
      </c>
      <c r="B8" s="6" t="inlineStr">
        <is>
          <t>Perpetuity</t>
        </is>
      </c>
      <c r="C8" s="6" t="inlineStr">
        <is>
          <t>PV = C / r</t>
        </is>
      </c>
      <c r="D8" s="9" t="inlineStr">
        <is>
          <t>Yes</t>
        </is>
      </c>
      <c r="E8" s="9" t="inlineStr">
        <is>
          <t>Yes</t>
        </is>
      </c>
      <c r="F8" s="9" t="inlineStr">
        <is>
          <t>Yes</t>
        </is>
      </c>
      <c r="G8" s="9" t="inlineStr">
        <is>
          <t>Yes</t>
        </is>
      </c>
      <c r="H8" s="9" t="inlineStr">
        <is>
          <t>Yes</t>
        </is>
      </c>
      <c r="I8" s="9" t="inlineStr">
        <is>
          <t>Yes</t>
        </is>
      </c>
      <c r="J8" s="8" t="inlineStr">
        <is>
          <t>No</t>
        </is>
      </c>
      <c r="K8" s="6" t="inlineStr">
        <is>
          <t>Special case of growing perpetuity</t>
        </is>
      </c>
      <c r="L8" s="6" t="inlineStr">
        <is>
          <t>perpetuity</t>
        </is>
      </c>
    </row>
    <row r="9" ht="18" customHeight="1">
      <c r="A9" s="6" t="inlineStr">
        <is>
          <t>Time value</t>
        </is>
      </c>
      <c r="B9" s="6" t="inlineStr">
        <is>
          <t>Growing perpetuity</t>
        </is>
      </c>
      <c r="C9" s="6" t="inlineStr">
        <is>
          <t>PV = C_1 / (r-g)</t>
        </is>
      </c>
      <c r="D9" s="9" t="inlineStr">
        <is>
          <t>Yes</t>
        </is>
      </c>
      <c r="E9" s="9" t="inlineStr">
        <is>
          <t>Yes</t>
        </is>
      </c>
      <c r="F9" s="9" t="inlineStr">
        <is>
          <t>Yes</t>
        </is>
      </c>
      <c r="G9" s="9" t="inlineStr">
        <is>
          <t>Yes</t>
        </is>
      </c>
      <c r="H9" s="9" t="inlineStr">
        <is>
          <t>Yes</t>
        </is>
      </c>
      <c r="I9" s="9" t="inlineStr">
        <is>
          <t>Yes</t>
        </is>
      </c>
      <c r="J9" s="8" t="inlineStr">
        <is>
          <t>No</t>
        </is>
      </c>
      <c r="K9" s="6" t="inlineStr">
        <is>
          <t>Terminal value and DDM</t>
        </is>
      </c>
      <c r="L9" s="6" t="inlineStr">
        <is>
          <t>growperp</t>
        </is>
      </c>
    </row>
    <row r="10" ht="18" customHeight="1">
      <c r="A10" s="6" t="inlineStr">
        <is>
          <t>Time value</t>
        </is>
      </c>
      <c r="B10" s="6" t="inlineStr">
        <is>
          <t>Annuity factor</t>
        </is>
      </c>
      <c r="C10" s="6" t="inlineStr">
        <is>
          <t>PV = C/r x [1 - 1/(1+r)^N]</t>
        </is>
      </c>
      <c r="D10" s="9" t="inlineStr">
        <is>
          <t>Yes</t>
        </is>
      </c>
      <c r="E10" s="9" t="inlineStr">
        <is>
          <t>Yes</t>
        </is>
      </c>
      <c r="F10" s="9" t="inlineStr">
        <is>
          <t>Yes</t>
        </is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  <c r="J10" s="10" t="inlineStr">
        <is>
          <t>Later</t>
        </is>
      </c>
      <c r="K10" s="6" t="inlineStr">
        <is>
          <t>Present in course/workbook; no reusable OpenQuant annuity function</t>
        </is>
      </c>
      <c r="L10" s="6" t="inlineStr">
        <is>
          <t>annuity</t>
        </is>
      </c>
    </row>
    <row r="11" ht="18" customHeight="1">
      <c r="A11" s="6" t="inlineStr">
        <is>
          <t>Time value</t>
        </is>
      </c>
      <c r="B11" s="6" t="inlineStr">
        <is>
          <t>Growing annuity</t>
        </is>
      </c>
      <c r="C11" s="6" t="inlineStr">
        <is>
          <t>PV = C_1/(r-g) x [1 - ((1+g)/(1+r))^N]</t>
        </is>
      </c>
      <c r="D11" s="9" t="inlineStr">
        <is>
          <t>Yes</t>
        </is>
      </c>
      <c r="E11" s="9" t="inlineStr">
        <is>
          <t>Yes</t>
        </is>
      </c>
      <c r="F11" s="9" t="inlineStr">
        <is>
          <t>Yes</t>
        </is>
      </c>
      <c r="G11" s="9" t="inlineStr">
        <is>
          <t>Yes</t>
        </is>
      </c>
      <c r="H11" s="8" t="inlineStr">
        <is>
          <t>No</t>
        </is>
      </c>
      <c r="I11" s="8" t="inlineStr">
        <is>
          <t>No</t>
        </is>
      </c>
      <c r="J11" s="10" t="inlineStr">
        <is>
          <t>Later</t>
        </is>
      </c>
      <c r="K11" s="6" t="inlineStr">
        <is>
          <t>Sample exam tested</t>
        </is>
      </c>
      <c r="L11" s="6" t="inlineStr">
        <is>
          <t>growann</t>
        </is>
      </c>
    </row>
    <row r="12" ht="18" customHeight="1">
      <c r="A12" s="6" t="inlineStr">
        <is>
          <t>Rates</t>
        </is>
      </c>
      <c r="B12" s="6" t="inlineStr">
        <is>
          <t>Compounding conversion</t>
        </is>
      </c>
      <c r="C12" s="6" t="inlineStr">
        <is>
          <t>(1+r_A)^(p_A) = (1+r_B)^(p_B)</t>
        </is>
      </c>
      <c r="D12" s="9" t="inlineStr">
        <is>
          <t>Yes</t>
        </is>
      </c>
      <c r="E12" s="9" t="inlineStr">
        <is>
          <t>Yes</t>
        </is>
      </c>
      <c r="F12" s="9" t="inlineStr">
        <is>
          <t>Yes</t>
        </is>
      </c>
      <c r="G12" s="8" t="inlineStr">
        <is>
          <t>No</t>
        </is>
      </c>
      <c r="H12" s="8" t="inlineStr">
        <is>
          <t>No</t>
        </is>
      </c>
      <c r="I12" s="8" t="inlineStr">
        <is>
          <t>No</t>
        </is>
      </c>
      <c r="J12" s="10" t="inlineStr">
        <is>
          <t>Later</t>
        </is>
      </c>
      <c r="K12" s="6" t="inlineStr">
        <is>
          <t>Bonds/Rates Lab</t>
        </is>
      </c>
      <c r="L12" s="6" t="inlineStr">
        <is>
          <t>ear</t>
        </is>
      </c>
    </row>
    <row r="13" ht="18" customHeight="1">
      <c r="A13" s="6" t="inlineStr">
        <is>
          <t>Rates</t>
        </is>
      </c>
      <c r="B13" s="6" t="inlineStr">
        <is>
          <t>Continuous compounding</t>
        </is>
      </c>
      <c r="C13" s="6" t="inlineStr">
        <is>
          <t>FV = PV x exp(r x t)</t>
        </is>
      </c>
      <c r="D13" s="9" t="inlineStr">
        <is>
          <t>Yes</t>
        </is>
      </c>
      <c r="E13" s="9" t="inlineStr">
        <is>
          <t>Yes</t>
        </is>
      </c>
      <c r="F13" s="9" t="inlineStr">
        <is>
          <t>Yes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10" t="inlineStr">
        <is>
          <t>Later</t>
        </is>
      </c>
      <c r="K13" s="6" t="inlineStr">
        <is>
          <t>Mainly rates/derivatives</t>
        </is>
      </c>
      <c r="L13" s="6" t="inlineStr">
        <is>
          <t>contcomp</t>
        </is>
      </c>
    </row>
    <row r="14" ht="18" customHeight="1">
      <c r="A14" s="6" t="inlineStr">
        <is>
          <t>Rates</t>
        </is>
      </c>
      <c r="B14" s="6" t="inlineStr">
        <is>
          <t>Spot rate from zero-coupon bond</t>
        </is>
      </c>
      <c r="C14" s="6" t="inlineStr">
        <is>
          <t>r_0,t = (FV/P)^(1/t) - 1</t>
        </is>
      </c>
      <c r="D14" s="9" t="inlineStr">
        <is>
          <t>Yes</t>
        </is>
      </c>
      <c r="E14" s="9" t="inlineStr">
        <is>
          <t>Yes</t>
        </is>
      </c>
      <c r="F14" s="9" t="inlineStr">
        <is>
          <t>Yes</t>
        </is>
      </c>
      <c r="G14" s="8" t="inlineStr">
        <is>
          <t>No</t>
        </is>
      </c>
      <c r="H14" s="8" t="inlineStr">
        <is>
          <t>No</t>
        </is>
      </c>
      <c r="I14" s="8" t="inlineStr">
        <is>
          <t>No</t>
        </is>
      </c>
      <c r="J14" s="10" t="inlineStr">
        <is>
          <t>Later</t>
        </is>
      </c>
      <c r="K14" s="6" t="inlineStr">
        <is>
          <t>Bonds/Rates Lab</t>
        </is>
      </c>
      <c r="L14" s="6" t="inlineStr">
        <is>
          <t>spot</t>
        </is>
      </c>
    </row>
    <row r="15" ht="18" customHeight="1">
      <c r="A15" s="6" t="inlineStr">
        <is>
          <t>Rates</t>
        </is>
      </c>
      <c r="B15" s="6" t="inlineStr">
        <is>
          <t>Forward rate from spot rates</t>
        </is>
      </c>
      <c r="C15" s="6" t="inlineStr">
        <is>
          <t>f_m,n = [((1+r_n)^n)/((1+r_m)^m)]^(1/(n-m)) - 1</t>
        </is>
      </c>
      <c r="D15" s="9" t="inlineStr">
        <is>
          <t>Yes</t>
        </is>
      </c>
      <c r="E15" s="9" t="inlineStr">
        <is>
          <t>Yes</t>
        </is>
      </c>
      <c r="F15" s="9" t="inlineStr">
        <is>
          <t>Yes</t>
        </is>
      </c>
      <c r="G15" s="8" t="inlineStr">
        <is>
          <t>No</t>
        </is>
      </c>
      <c r="H15" s="8" t="inlineStr">
        <is>
          <t>No</t>
        </is>
      </c>
      <c r="I15" s="8" t="inlineStr">
        <is>
          <t>No</t>
        </is>
      </c>
      <c r="J15" s="10" t="inlineStr">
        <is>
          <t>Later</t>
        </is>
      </c>
      <c r="K15" s="6" t="inlineStr">
        <is>
          <t>Bonds/Rates Lab</t>
        </is>
      </c>
      <c r="L15" s="6" t="inlineStr">
        <is>
          <t>forward</t>
        </is>
      </c>
    </row>
    <row r="16" ht="18" customHeight="1">
      <c r="A16" s="6" t="inlineStr">
        <is>
          <t>Bonds</t>
        </is>
      </c>
      <c r="B16" s="6" t="inlineStr">
        <is>
          <t>Coupon bond price</t>
        </is>
      </c>
      <c r="C16" s="6" t="inlineStr">
        <is>
          <t>P = sum(CPN_t / (1+r_t)^t) + Face/(1+r_T)^T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Yes</t>
        </is>
      </c>
      <c r="G16" s="8" t="inlineStr">
        <is>
          <t>No</t>
        </is>
      </c>
      <c r="H16" s="8" t="inlineStr">
        <is>
          <t>No</t>
        </is>
      </c>
      <c r="I16" s="8" t="inlineStr">
        <is>
          <t>No</t>
        </is>
      </c>
      <c r="J16" s="10" t="inlineStr">
        <is>
          <t>Later</t>
        </is>
      </c>
      <c r="K16" s="6" t="inlineStr">
        <is>
          <t>Bonds/Rates Lab</t>
        </is>
      </c>
      <c r="L16" s="6" t="inlineStr">
        <is>
          <t>bond</t>
        </is>
      </c>
    </row>
    <row r="17" ht="18" customHeight="1">
      <c r="A17" s="6" t="inlineStr">
        <is>
          <t>Bonds</t>
        </is>
      </c>
      <c r="B17" s="6" t="inlineStr">
        <is>
          <t>Yield to maturity</t>
        </is>
      </c>
      <c r="C17" s="6" t="inlineStr">
        <is>
          <t>Price = sum(CF_t / (1+YTM)^t)</t>
        </is>
      </c>
      <c r="D17" s="9" t="inlineStr">
        <is>
          <t>Yes</t>
        </is>
      </c>
      <c r="E17" s="9" t="inlineStr">
        <is>
          <t>Yes</t>
        </is>
      </c>
      <c r="F17" s="9" t="inlineStr">
        <is>
          <t>Yes</t>
        </is>
      </c>
      <c r="G17" s="8" t="inlineStr">
        <is>
          <t>No</t>
        </is>
      </c>
      <c r="H17" s="8" t="inlineStr">
        <is>
          <t>No</t>
        </is>
      </c>
      <c r="I17" s="8" t="inlineStr">
        <is>
          <t>No</t>
        </is>
      </c>
      <c r="J17" s="10" t="inlineStr">
        <is>
          <t>Later</t>
        </is>
      </c>
      <c r="K17" s="6" t="inlineStr">
        <is>
          <t>Requires solver if productized</t>
        </is>
      </c>
      <c r="L17" s="6" t="inlineStr">
        <is>
          <t>ytm</t>
        </is>
      </c>
    </row>
    <row r="18" ht="18" customHeight="1">
      <c r="A18" s="6" t="inlineStr">
        <is>
          <t>Bonds</t>
        </is>
      </c>
      <c r="B18" s="6" t="inlineStr">
        <is>
          <t>Macaulay duration</t>
        </is>
      </c>
      <c r="C18" s="6" t="inlineStr">
        <is>
          <t>D = sum(t x PV(CF_t)) / Price</t>
        </is>
      </c>
      <c r="D18" s="9" t="inlineStr">
        <is>
          <t>Yes</t>
        </is>
      </c>
      <c r="E18" s="9" t="inlineStr">
        <is>
          <t>Yes</t>
        </is>
      </c>
      <c r="F18" s="9" t="inlineStr">
        <is>
          <t>Yes</t>
        </is>
      </c>
      <c r="G18" s="8" t="inlineStr">
        <is>
          <t>No</t>
        </is>
      </c>
      <c r="H18" s="8" t="inlineStr">
        <is>
          <t>No</t>
        </is>
      </c>
      <c r="I18" s="8" t="inlineStr">
        <is>
          <t>No</t>
        </is>
      </c>
      <c r="J18" s="10" t="inlineStr">
        <is>
          <t>Later</t>
        </is>
      </c>
      <c r="K18" s="6" t="inlineStr">
        <is>
          <t>Bonds/Rates Lab</t>
        </is>
      </c>
      <c r="L18" s="6" t="inlineStr">
        <is>
          <t>duration</t>
        </is>
      </c>
    </row>
    <row r="19" ht="18" customHeight="1">
      <c r="A19" s="6" t="inlineStr">
        <is>
          <t>Bonds</t>
        </is>
      </c>
      <c r="B19" s="6" t="inlineStr">
        <is>
          <t>Modified duration</t>
        </is>
      </c>
      <c r="C19" s="6" t="inlineStr">
        <is>
          <t>D_mod = D_mac / (1+y/k)</t>
        </is>
      </c>
      <c r="D19" s="9" t="inlineStr">
        <is>
          <t>Yes</t>
        </is>
      </c>
      <c r="E19" s="9" t="inlineStr">
        <is>
          <t>Yes</t>
        </is>
      </c>
      <c r="F19" s="9" t="inlineStr">
        <is>
          <t>Yes</t>
        </is>
      </c>
      <c r="G19" s="8" t="inlineStr">
        <is>
          <t>No</t>
        </is>
      </c>
      <c r="H19" s="8" t="inlineStr">
        <is>
          <t>No</t>
        </is>
      </c>
      <c r="I19" s="8" t="inlineStr">
        <is>
          <t>No</t>
        </is>
      </c>
      <c r="J19" s="10" t="inlineStr">
        <is>
          <t>Later</t>
        </is>
      </c>
      <c r="K19" s="6" t="inlineStr">
        <is>
          <t>Bonds/Rates Lab</t>
        </is>
      </c>
      <c r="L19" s="6" t="inlineStr">
        <is>
          <t>duration</t>
        </is>
      </c>
    </row>
    <row r="20" ht="18" customHeight="1">
      <c r="A20" s="6" t="inlineStr">
        <is>
          <t>Statistics</t>
        </is>
      </c>
      <c r="B20" s="6" t="inlineStr">
        <is>
          <t>Expected return</t>
        </is>
      </c>
      <c r="C20" s="6" t="inlineStr">
        <is>
          <t>E[R] = sum(p_i x R_i)</t>
        </is>
      </c>
      <c r="D20" s="9" t="inlineStr">
        <is>
          <t>Yes</t>
        </is>
      </c>
      <c r="E20" s="9" t="inlineStr">
        <is>
          <t>Yes</t>
        </is>
      </c>
      <c r="F20" s="9" t="inlineStr">
        <is>
          <t>Yes</t>
        </is>
      </c>
      <c r="G20" s="8" t="inlineStr">
        <is>
          <t>No</t>
        </is>
      </c>
      <c r="H20" s="8" t="inlineStr">
        <is>
          <t>No</t>
        </is>
      </c>
      <c r="I20" s="8" t="inlineStr">
        <is>
          <t>No</t>
        </is>
      </c>
      <c r="J20" s="10" t="inlineStr">
        <is>
          <t>Later</t>
        </is>
      </c>
      <c r="K20" s="6" t="inlineStr">
        <is>
          <t>Verified in tests with pandas/numpy, but no reusable OpenQuant function</t>
        </is>
      </c>
      <c r="L20" s="6" t="inlineStr">
        <is>
          <t>expvar</t>
        </is>
      </c>
    </row>
    <row r="21" ht="18" customHeight="1">
      <c r="A21" s="6" t="inlineStr">
        <is>
          <t>Statistics</t>
        </is>
      </c>
      <c r="B21" s="6" t="inlineStr">
        <is>
          <t>Variance</t>
        </is>
      </c>
      <c r="C21" s="6" t="inlineStr">
        <is>
          <t>Var(R) = sum(p_i x (R_i - E[R])^2)</t>
        </is>
      </c>
      <c r="D21" s="9" t="inlineStr">
        <is>
          <t>Yes</t>
        </is>
      </c>
      <c r="E21" s="9" t="inlineStr">
        <is>
          <t>Yes</t>
        </is>
      </c>
      <c r="F21" s="9" t="inlineStr">
        <is>
          <t>Yes</t>
        </is>
      </c>
      <c r="G21" s="8" t="inlineStr">
        <is>
          <t>No</t>
        </is>
      </c>
      <c r="H21" s="8" t="inlineStr">
        <is>
          <t>No</t>
        </is>
      </c>
      <c r="I21" s="8" t="inlineStr">
        <is>
          <t>No</t>
        </is>
      </c>
      <c r="J21" s="10" t="inlineStr">
        <is>
          <t>Later</t>
        </is>
      </c>
      <c r="K21" s="6" t="inlineStr">
        <is>
          <t>Verified in tests with pandas/numpy, but no reusable OpenQuant function</t>
        </is>
      </c>
      <c r="L21" s="6" t="inlineStr">
        <is>
          <t>expvar</t>
        </is>
      </c>
    </row>
    <row r="22" ht="18" customHeight="1">
      <c r="A22" s="6" t="inlineStr">
        <is>
          <t>Statistics</t>
        </is>
      </c>
      <c r="B22" s="6" t="inlineStr">
        <is>
          <t>Standard deviation</t>
        </is>
      </c>
      <c r="C22" s="6" t="inlineStr">
        <is>
          <t>SD(R) = sqrt(Var(R))</t>
        </is>
      </c>
      <c r="D22" s="9" t="inlineStr">
        <is>
          <t>Yes</t>
        </is>
      </c>
      <c r="E22" s="9" t="inlineStr">
        <is>
          <t>Yes</t>
        </is>
      </c>
      <c r="F22" s="9" t="inlineStr">
        <is>
          <t>Yes</t>
        </is>
      </c>
      <c r="G22" s="9" t="inlineStr">
        <is>
          <t>Yes</t>
        </is>
      </c>
      <c r="H22" s="8" t="inlineStr">
        <is>
          <t>No</t>
        </is>
      </c>
      <c r="I22" s="8" t="inlineStr">
        <is>
          <t>No</t>
        </is>
      </c>
      <c r="J22" s="10" t="inlineStr">
        <is>
          <t>Later</t>
        </is>
      </c>
      <c r="K22" s="6" t="inlineStr">
        <is>
          <t>Volatility annualisation exists in core.utils; no standalone probability-law module</t>
        </is>
      </c>
      <c r="L22" s="6" t="inlineStr">
        <is>
          <t>expvar</t>
        </is>
      </c>
    </row>
    <row r="23" ht="18" customHeight="1">
      <c r="A23" s="6" t="inlineStr">
        <is>
          <t>Statistics</t>
        </is>
      </c>
      <c r="B23" s="6" t="inlineStr">
        <is>
          <t>Covariance</t>
        </is>
      </c>
      <c r="C23" s="6" t="inlineStr">
        <is>
          <t>Cov(X,Y) = E[(X-E[X])(Y-E[Y])]</t>
        </is>
      </c>
      <c r="D23" s="9" t="inlineStr">
        <is>
          <t>Yes</t>
        </is>
      </c>
      <c r="E23" s="9" t="inlineStr">
        <is>
          <t>Yes</t>
        </is>
      </c>
      <c r="F23" s="9" t="inlineStr">
        <is>
          <t>Yes</t>
        </is>
      </c>
      <c r="G23" s="9" t="inlineStr">
        <is>
          <t>Yes</t>
        </is>
      </c>
      <c r="H23" s="8" t="inlineStr">
        <is>
          <t>No</t>
        </is>
      </c>
      <c r="I23" s="9" t="inlineStr">
        <is>
          <t>Yes</t>
        </is>
      </c>
      <c r="J23" s="10" t="inlineStr">
        <is>
          <t>Later</t>
        </is>
      </c>
      <c r="K23" s="6" t="inlineStr">
        <is>
          <t>Used in beta estimation via Cov/Var, not a standalone product feature</t>
        </is>
      </c>
      <c r="L23" s="6" t="inlineStr">
        <is>
          <t>covcorr</t>
        </is>
      </c>
    </row>
    <row r="24" ht="18" customHeight="1">
      <c r="A24" s="6" t="inlineStr">
        <is>
          <t>Statistics</t>
        </is>
      </c>
      <c r="B24" s="6" t="inlineStr">
        <is>
          <t>Correlation</t>
        </is>
      </c>
      <c r="C24" s="6" t="inlineStr">
        <is>
          <t>rho_XY = Cov(X,Y)/(sigma_X sigma_Y)</t>
        </is>
      </c>
      <c r="D24" s="9" t="inlineStr">
        <is>
          <t>Yes</t>
        </is>
      </c>
      <c r="E24" s="9" t="inlineStr">
        <is>
          <t>Yes</t>
        </is>
      </c>
      <c r="F24" s="9" t="inlineStr">
        <is>
          <t>Yes</t>
        </is>
      </c>
      <c r="G24" s="8" t="inlineStr">
        <is>
          <t>No</t>
        </is>
      </c>
      <c r="H24" s="8" t="inlineStr">
        <is>
          <t>No</t>
        </is>
      </c>
      <c r="I24" s="8" t="inlineStr">
        <is>
          <t>No</t>
        </is>
      </c>
      <c r="J24" s="10" t="inlineStr">
        <is>
          <t>Later</t>
        </is>
      </c>
      <c r="K24" s="6" t="inlineStr">
        <is>
          <t>Used as an input in beta_from_correlation; no correlation-computation function</t>
        </is>
      </c>
      <c r="L24" s="6" t="inlineStr">
        <is>
          <t>covcorr</t>
        </is>
      </c>
    </row>
    <row r="25" ht="18" customHeight="1">
      <c r="A25" s="6" t="inlineStr">
        <is>
          <t>Risk</t>
        </is>
      </c>
      <c r="B25" s="6" t="inlineStr">
        <is>
          <t>Beta from covariance</t>
        </is>
      </c>
      <c r="C25" s="6" t="inlineStr">
        <is>
          <t>beta_i = Cov(R_i,R_M) / Var(R_M)</t>
        </is>
      </c>
      <c r="D25" s="9" t="inlineStr">
        <is>
          <t>Yes</t>
        </is>
      </c>
      <c r="E25" s="9" t="inlineStr">
        <is>
          <t>Yes</t>
        </is>
      </c>
      <c r="F25" s="9" t="inlineStr">
        <is>
          <t>Yes</t>
        </is>
      </c>
      <c r="G25" s="9" t="inlineStr">
        <is>
          <t>Yes</t>
        </is>
      </c>
      <c r="H25" s="9" t="inlineStr">
        <is>
          <t>Yes</t>
        </is>
      </c>
      <c r="I25" s="9" t="inlineStr">
        <is>
          <t>Yes</t>
        </is>
      </c>
      <c r="J25" s="9" t="inlineStr">
        <is>
          <t>Yes</t>
        </is>
      </c>
      <c r="K25" s="6" t="inlineStr">
        <is>
          <t>Current product estimates beta from market price data</t>
        </is>
      </c>
      <c r="L25" s="6" t="inlineStr">
        <is>
          <t>beta</t>
        </is>
      </c>
    </row>
    <row r="26" ht="18" customHeight="1">
      <c r="A26" s="6" t="inlineStr">
        <is>
          <t>Risk</t>
        </is>
      </c>
      <c r="B26" s="6" t="inlineStr">
        <is>
          <t>Beta from correlation</t>
        </is>
      </c>
      <c r="C26" s="6" t="inlineStr">
        <is>
          <t>beta_i = rho_iM x sigma_i / sigma_M</t>
        </is>
      </c>
      <c r="D26" s="9" t="inlineStr">
        <is>
          <t>Yes</t>
        </is>
      </c>
      <c r="E26" s="8" t="inlineStr">
        <is>
          <t>No</t>
        </is>
      </c>
      <c r="F26" s="9" t="inlineStr">
        <is>
          <t>Yes</t>
        </is>
      </c>
      <c r="G26" s="9" t="inlineStr">
        <is>
          <t>Yes</t>
        </is>
      </c>
      <c r="H26" s="8" t="inlineStr">
        <is>
          <t>No</t>
        </is>
      </c>
      <c r="I26" s="8" t="inlineStr">
        <is>
          <t>No</t>
        </is>
      </c>
      <c r="J26" s="10" t="inlineStr">
        <is>
          <t>Later</t>
        </is>
      </c>
      <c r="K26" s="6" t="inlineStr">
        <is>
          <t>Exam 2 test; not current product input method</t>
        </is>
      </c>
      <c r="L26" s="6" t="inlineStr">
        <is>
          <t>beta</t>
        </is>
      </c>
    </row>
    <row r="27" ht="18" customHeight="1">
      <c r="A27" s="6" t="inlineStr">
        <is>
          <t>Portfolio</t>
        </is>
      </c>
      <c r="B27" s="6" t="inlineStr">
        <is>
          <t>Portfolio return</t>
        </is>
      </c>
      <c r="C27" s="6" t="inlineStr">
        <is>
          <t>E[R_p] = sum(w_i x E[R_i])</t>
        </is>
      </c>
      <c r="D27" s="9" t="inlineStr">
        <is>
          <t>Yes</t>
        </is>
      </c>
      <c r="E27" s="9" t="inlineStr">
        <is>
          <t>Yes</t>
        </is>
      </c>
      <c r="F27" s="9" t="inlineStr">
        <is>
          <t>Yes</t>
        </is>
      </c>
      <c r="G27" s="8" t="inlineStr">
        <is>
          <t>No</t>
        </is>
      </c>
      <c r="H27" s="8" t="inlineStr">
        <is>
          <t>No</t>
        </is>
      </c>
      <c r="I27" s="8" t="inlineStr">
        <is>
          <t>No</t>
        </is>
      </c>
      <c r="J27" s="10" t="inlineStr">
        <is>
          <t>Later</t>
        </is>
      </c>
      <c r="K27" s="6" t="inlineStr">
        <is>
          <t>Computed directly in tests; no reusable product function</t>
        </is>
      </c>
      <c r="L27" s="6" t="inlineStr">
        <is>
          <t>portvar</t>
        </is>
      </c>
    </row>
    <row r="28" ht="18" customHeight="1">
      <c r="A28" s="6" t="inlineStr">
        <is>
          <t>Portfolio</t>
        </is>
      </c>
      <c r="B28" s="6" t="inlineStr">
        <is>
          <t>Two-asset variance</t>
        </is>
      </c>
      <c r="C28" s="6" t="inlineStr">
        <is>
          <t>Var_p = w_A^2 sigma_A^2 + w_B^2 sigma_B^2 + 2w_Aw_Brho_ABsigma_Asigma_B</t>
        </is>
      </c>
      <c r="D28" s="9" t="inlineStr">
        <is>
          <t>Yes</t>
        </is>
      </c>
      <c r="E28" s="9" t="inlineStr">
        <is>
          <t>Yes</t>
        </is>
      </c>
      <c r="F28" s="9" t="inlineStr">
        <is>
          <t>Yes</t>
        </is>
      </c>
      <c r="G28" s="8" t="inlineStr">
        <is>
          <t>No</t>
        </is>
      </c>
      <c r="H28" s="8" t="inlineStr">
        <is>
          <t>No</t>
        </is>
      </c>
      <c r="I28" s="8" t="inlineStr">
        <is>
          <t>No</t>
        </is>
      </c>
      <c r="J28" s="10" t="inlineStr">
        <is>
          <t>Later</t>
        </is>
      </c>
      <c r="K28" s="6" t="inlineStr">
        <is>
          <t>Computed directly in tests; min-variance helper exists separately</t>
        </is>
      </c>
      <c r="L28" s="6" t="inlineStr">
        <is>
          <t>portvar</t>
        </is>
      </c>
    </row>
    <row r="29" ht="18" customHeight="1">
      <c r="A29" s="6" t="inlineStr">
        <is>
          <t>Portfolio</t>
        </is>
      </c>
      <c r="B29" s="6" t="inlineStr">
        <is>
          <t>N-asset portfolio beta</t>
        </is>
      </c>
      <c r="C29" s="6" t="inlineStr">
        <is>
          <t>beta_p = sum(w_i x beta_i)</t>
        </is>
      </c>
      <c r="D29" s="9" t="inlineStr">
        <is>
          <t>Yes</t>
        </is>
      </c>
      <c r="E29" s="8" t="inlineStr">
        <is>
          <t>No</t>
        </is>
      </c>
      <c r="F29" s="8" t="inlineStr">
        <is>
          <t>No</t>
        </is>
      </c>
      <c r="G29" s="8" t="inlineStr">
        <is>
          <t>No</t>
        </is>
      </c>
      <c r="H29" s="8" t="inlineStr">
        <is>
          <t>No</t>
        </is>
      </c>
      <c r="I29" s="8" t="inlineStr">
        <is>
          <t>No</t>
        </is>
      </c>
      <c r="J29" s="10" t="inlineStr">
        <is>
          <t>Later</t>
        </is>
      </c>
      <c r="K29" s="6" t="inlineStr">
        <is>
          <t>Formula sheet line; add in Portfolio Lab</t>
        </is>
      </c>
      <c r="L29" s="6" t="inlineStr">
        <is>
          <t>portbeta</t>
        </is>
      </c>
    </row>
    <row r="30" ht="18" customHeight="1">
      <c r="A30" s="6" t="inlineStr">
        <is>
          <t>Portfolio</t>
        </is>
      </c>
      <c r="B30" s="6" t="inlineStr">
        <is>
          <t>Minimum variance weight</t>
        </is>
      </c>
      <c r="C30" s="6" t="inlineStr">
        <is>
          <t>w_A* = (sigma_B^2 - rho sigma_A sigma_B)/(sigma_A^2 + sigma_B^2 - 2rho sigma_A sigma_B)</t>
        </is>
      </c>
      <c r="D30" s="8" t="inlineStr">
        <is>
          <t>No</t>
        </is>
      </c>
      <c r="E30" s="9" t="inlineStr">
        <is>
          <t>Yes</t>
        </is>
      </c>
      <c r="F30" s="9" t="inlineStr">
        <is>
          <t>Yes</t>
        </is>
      </c>
      <c r="G30" s="9" t="inlineStr">
        <is>
          <t>Yes</t>
        </is>
      </c>
      <c r="H30" s="8" t="inlineStr">
        <is>
          <t>No</t>
        </is>
      </c>
      <c r="I30" s="8" t="inlineStr">
        <is>
          <t>No</t>
        </is>
      </c>
      <c r="J30" s="10" t="inlineStr">
        <is>
          <t>Later</t>
        </is>
      </c>
      <c r="K30" s="6" t="inlineStr">
        <is>
          <t>Implemented/tested; no product UI</t>
        </is>
      </c>
      <c r="L30" s="6" t="inlineStr">
        <is>
          <t>minvar</t>
        </is>
      </c>
    </row>
    <row r="31" ht="18" customHeight="1">
      <c r="A31" s="6" t="inlineStr">
        <is>
          <t>Portfolio</t>
        </is>
      </c>
      <c r="B31" s="6" t="inlineStr">
        <is>
          <t>Sharpe ratio</t>
        </is>
      </c>
      <c r="C31" s="6" t="inlineStr">
        <is>
          <t>Sharpe = (E[R] - R_f) / sigma</t>
        </is>
      </c>
      <c r="D31" s="8" t="inlineStr">
        <is>
          <t>No</t>
        </is>
      </c>
      <c r="E31" s="9" t="inlineStr">
        <is>
          <t>Yes</t>
        </is>
      </c>
      <c r="F31" s="9" t="inlineStr">
        <is>
          <t>Yes</t>
        </is>
      </c>
      <c r="G31" s="9" t="inlineStr">
        <is>
          <t>Yes</t>
        </is>
      </c>
      <c r="H31" s="8" t="inlineStr">
        <is>
          <t>No</t>
        </is>
      </c>
      <c r="I31" s="8" t="inlineStr">
        <is>
          <t>No</t>
        </is>
      </c>
      <c r="J31" s="10" t="inlineStr">
        <is>
          <t>Later</t>
        </is>
      </c>
      <c r="K31" s="6" t="inlineStr">
        <is>
          <t>Implemented/tested; Portfolio Lab</t>
        </is>
      </c>
      <c r="L31" s="6" t="inlineStr">
        <is>
          <t>sharpe</t>
        </is>
      </c>
    </row>
    <row r="32" ht="18" customHeight="1">
      <c r="A32" s="6" t="inlineStr">
        <is>
          <t>CAPM</t>
        </is>
      </c>
      <c r="B32" s="6" t="inlineStr">
        <is>
          <t>CAPM required return</t>
        </is>
      </c>
      <c r="C32" s="6" t="inlineStr">
        <is>
          <t>r_i = r_f + beta_i x (E[R_M] - r_f)</t>
        </is>
      </c>
      <c r="D32" s="9" t="inlineStr">
        <is>
          <t>Yes</t>
        </is>
      </c>
      <c r="E32" s="9" t="inlineStr">
        <is>
          <t>Yes</t>
        </is>
      </c>
      <c r="F32" s="9" t="inlineStr">
        <is>
          <t>Yes</t>
        </is>
      </c>
      <c r="G32" s="9" t="inlineStr">
        <is>
          <t>Yes</t>
        </is>
      </c>
      <c r="H32" s="9" t="inlineStr">
        <is>
          <t>Yes</t>
        </is>
      </c>
      <c r="I32" s="9" t="inlineStr">
        <is>
          <t>Yes</t>
        </is>
      </c>
      <c r="J32" s="9" t="inlineStr">
        <is>
          <t>Yes</t>
        </is>
      </c>
      <c r="K32" s="6" t="inlineStr">
        <is>
          <t>Current product WACC cost of equity</t>
        </is>
      </c>
      <c r="L32" s="6" t="inlineStr">
        <is>
          <t>capm</t>
        </is>
      </c>
    </row>
    <row r="33" ht="18" customHeight="1">
      <c r="A33" s="6" t="inlineStr">
        <is>
          <t>CAPM</t>
        </is>
      </c>
      <c r="B33" s="6" t="inlineStr">
        <is>
          <t>Alpha</t>
        </is>
      </c>
      <c r="C33" s="6" t="inlineStr">
        <is>
          <t>alpha_i = R_i - [r_f + beta_i x (E[R_M]-r_f)]</t>
        </is>
      </c>
      <c r="D33" s="8" t="inlineStr">
        <is>
          <t>No</t>
        </is>
      </c>
      <c r="E33" s="9" t="inlineStr">
        <is>
          <t>Yes</t>
        </is>
      </c>
      <c r="F33" s="9" t="inlineStr">
        <is>
          <t>Yes</t>
        </is>
      </c>
      <c r="G33" s="8" t="inlineStr">
        <is>
          <t>No</t>
        </is>
      </c>
      <c r="H33" s="8" t="inlineStr">
        <is>
          <t>No</t>
        </is>
      </c>
      <c r="I33" s="8" t="inlineStr">
        <is>
          <t>No</t>
        </is>
      </c>
      <c r="J33" s="10" t="inlineStr">
        <is>
          <t>Later</t>
        </is>
      </c>
      <c r="K33" s="6" t="inlineStr">
        <is>
          <t>No standalone alpha implementation or product flow</t>
        </is>
      </c>
      <c r="L33" s="6" t="inlineStr">
        <is>
          <t>alpha</t>
        </is>
      </c>
    </row>
    <row r="34" ht="18" customHeight="1">
      <c r="A34" s="6" t="inlineStr">
        <is>
          <t>WACC</t>
        </is>
      </c>
      <c r="B34" s="6" t="inlineStr">
        <is>
          <t>WACC</t>
        </is>
      </c>
      <c r="C34" s="6" t="inlineStr">
        <is>
          <t>WACC = E/(D+E) x r_E + D/(D+E) x r_D x (1-T_c)</t>
        </is>
      </c>
      <c r="D34" s="9" t="inlineStr">
        <is>
          <t>Yes</t>
        </is>
      </c>
      <c r="E34" s="9" t="inlineStr">
        <is>
          <t>Yes</t>
        </is>
      </c>
      <c r="F34" s="9" t="inlineStr">
        <is>
          <t>Yes</t>
        </is>
      </c>
      <c r="G34" s="9" t="inlineStr">
        <is>
          <t>Yes</t>
        </is>
      </c>
      <c r="H34" s="9" t="inlineStr">
        <is>
          <t>Yes</t>
        </is>
      </c>
      <c r="I34" s="9" t="inlineStr">
        <is>
          <t>Yes</t>
        </is>
      </c>
      <c r="J34" s="9" t="inlineStr">
        <is>
          <t>Yes</t>
        </is>
      </c>
      <c r="K34" s="6" t="inlineStr">
        <is>
          <t>Core current product</t>
        </is>
      </c>
      <c r="L34" s="6" t="inlineStr">
        <is>
          <t>wacc</t>
        </is>
      </c>
    </row>
    <row r="35" ht="18" customHeight="1">
      <c r="A35" s="6" t="inlineStr">
        <is>
          <t>Capital structure</t>
        </is>
      </c>
      <c r="B35" s="6" t="inlineStr">
        <is>
          <t>Hamada unlever beta</t>
        </is>
      </c>
      <c r="C35" s="6" t="inlineStr">
        <is>
          <t>beta_U = beta_E / [1 + (1-T_c)D/E]</t>
        </is>
      </c>
      <c r="D35" s="9" t="inlineStr">
        <is>
          <t>Yes</t>
        </is>
      </c>
      <c r="E35" s="9" t="inlineStr">
        <is>
          <t>Yes</t>
        </is>
      </c>
      <c r="F35" s="9" t="inlineStr">
        <is>
          <t>Yes</t>
        </is>
      </c>
      <c r="G35" s="9" t="inlineStr">
        <is>
          <t>Yes</t>
        </is>
      </c>
      <c r="H35" s="8" t="inlineStr">
        <is>
          <t>No</t>
        </is>
      </c>
      <c r="I35" s="9" t="inlineStr">
        <is>
          <t>Yes</t>
        </is>
      </c>
      <c r="J35" s="10" t="inlineStr">
        <is>
          <t>Later</t>
        </is>
      </c>
      <c r="K35" s="6" t="inlineStr">
        <is>
          <t>Implemented/tested, but not visible or used in current WACC output</t>
        </is>
      </c>
      <c r="L35" s="6" t="inlineStr">
        <is>
          <t>hamada</t>
        </is>
      </c>
    </row>
    <row r="36" ht="18" customHeight="1">
      <c r="A36" s="6" t="inlineStr">
        <is>
          <t>Capital structure</t>
        </is>
      </c>
      <c r="B36" s="6" t="inlineStr">
        <is>
          <t>Relever beta</t>
        </is>
      </c>
      <c r="C36" s="6" t="inlineStr">
        <is>
          <t>beta_E = beta_U x [1 + (1-T_c)D/E]</t>
        </is>
      </c>
      <c r="D36" s="9" t="inlineStr">
        <is>
          <t>Yes</t>
        </is>
      </c>
      <c r="E36" s="9" t="inlineStr">
        <is>
          <t>Yes</t>
        </is>
      </c>
      <c r="F36" s="9" t="inlineStr">
        <is>
          <t>Yes</t>
        </is>
      </c>
      <c r="G36" s="8" t="inlineStr">
        <is>
          <t>No</t>
        </is>
      </c>
      <c r="H36" s="8" t="inlineStr">
        <is>
          <t>No</t>
        </is>
      </c>
      <c r="I36" s="9" t="inlineStr">
        <is>
          <t>Yes</t>
        </is>
      </c>
      <c r="J36" s="10" t="inlineStr">
        <is>
          <t>Later</t>
        </is>
      </c>
      <c r="K36" s="6" t="inlineStr">
        <is>
          <t>Unlevering exists; full explicit relever-beta formula is not a separate implementation</t>
        </is>
      </c>
      <c r="L36" s="6" t="inlineStr">
        <is>
          <t>hamada</t>
        </is>
      </c>
    </row>
    <row r="37" ht="18" customHeight="1">
      <c r="A37" s="6" t="inlineStr">
        <is>
          <t>Capital structure</t>
        </is>
      </c>
      <c r="B37" s="6" t="inlineStr">
        <is>
          <t>MM I no taxes</t>
        </is>
      </c>
      <c r="C37" s="6" t="inlineStr">
        <is>
          <t>V_L = V_U</t>
        </is>
      </c>
      <c r="D37" s="9" t="inlineStr">
        <is>
          <t>Yes</t>
        </is>
      </c>
      <c r="E37" s="9" t="inlineStr">
        <is>
          <t>Yes</t>
        </is>
      </c>
      <c r="F37" s="9" t="inlineStr">
        <is>
          <t>Yes</t>
        </is>
      </c>
      <c r="G37" s="8" t="inlineStr">
        <is>
          <t>No</t>
        </is>
      </c>
      <c r="H37" s="8" t="inlineStr">
        <is>
          <t>No</t>
        </is>
      </c>
      <c r="I37" s="8" t="inlineStr">
        <is>
          <t>No</t>
        </is>
      </c>
      <c r="J37" s="10" t="inlineStr">
        <is>
          <t>Later</t>
        </is>
      </c>
      <c r="K37" s="6" t="inlineStr">
        <is>
          <t>Theory in course/exams, not an OpenQuant formula implementation</t>
        </is>
      </c>
      <c r="L37" s="6" t="inlineStr">
        <is>
          <t>mm</t>
        </is>
      </c>
    </row>
    <row r="38" ht="18" customHeight="1">
      <c r="A38" s="6" t="inlineStr">
        <is>
          <t>Capital structure</t>
        </is>
      </c>
      <c r="B38" s="6" t="inlineStr">
        <is>
          <t>MM II no taxes</t>
        </is>
      </c>
      <c r="C38" s="6" t="inlineStr">
        <is>
          <t>r_E = r_A + (D/E)(r_A-r_D)</t>
        </is>
      </c>
      <c r="D38" s="9" t="inlineStr">
        <is>
          <t>Yes</t>
        </is>
      </c>
      <c r="E38" s="9" t="inlineStr">
        <is>
          <t>Yes</t>
        </is>
      </c>
      <c r="F38" s="9" t="inlineStr">
        <is>
          <t>Yes</t>
        </is>
      </c>
      <c r="G38" s="8" t="inlineStr">
        <is>
          <t>No</t>
        </is>
      </c>
      <c r="H38" s="8" t="inlineStr">
        <is>
          <t>No</t>
        </is>
      </c>
      <c r="I38" s="8" t="inlineStr">
        <is>
          <t>No</t>
        </is>
      </c>
      <c r="J38" s="10" t="inlineStr">
        <is>
          <t>Later</t>
        </is>
      </c>
      <c r="K38" s="6" t="inlineStr">
        <is>
          <t>Capital Structure Lab</t>
        </is>
      </c>
      <c r="L38" s="6" t="inlineStr">
        <is>
          <t>mm2</t>
        </is>
      </c>
    </row>
    <row r="39" ht="18" customHeight="1">
      <c r="A39" s="6" t="inlineStr">
        <is>
          <t>Capital structure</t>
        </is>
      </c>
      <c r="B39" s="6" t="inlineStr">
        <is>
          <t>APV</t>
        </is>
      </c>
      <c r="C39" s="6" t="inlineStr">
        <is>
          <t>APV = base-case NPV + NPV(financing side effects)</t>
        </is>
      </c>
      <c r="D39" s="9" t="inlineStr">
        <is>
          <t>Yes</t>
        </is>
      </c>
      <c r="E39" s="9" t="inlineStr">
        <is>
          <t>Yes</t>
        </is>
      </c>
      <c r="F39" s="9" t="inlineStr">
        <is>
          <t>Yes</t>
        </is>
      </c>
      <c r="G39" s="8" t="inlineStr">
        <is>
          <t>No</t>
        </is>
      </c>
      <c r="H39" s="8" t="inlineStr">
        <is>
          <t>No</t>
        </is>
      </c>
      <c r="I39" s="8" t="inlineStr">
        <is>
          <t>No</t>
        </is>
      </c>
      <c r="J39" s="10" t="inlineStr">
        <is>
          <t>Later</t>
        </is>
      </c>
      <c r="K39" s="6" t="inlineStr">
        <is>
          <t>PVTS exists, but full APV formula/workflow is not implemented</t>
        </is>
      </c>
      <c r="L39" s="6" t="inlineStr">
        <is>
          <t>apv</t>
        </is>
      </c>
    </row>
    <row r="40" ht="18" customHeight="1">
      <c r="A40" s="6" t="inlineStr">
        <is>
          <t>Capital structure</t>
        </is>
      </c>
      <c r="B40" s="6" t="inlineStr">
        <is>
          <t>PV tax shield</t>
        </is>
      </c>
      <c r="C40" s="6" t="inlineStr">
        <is>
          <t>PVTS = sum(T_c x r_D x D_t / (1+r_D)^t)</t>
        </is>
      </c>
      <c r="D40" s="9" t="inlineStr">
        <is>
          <t>Yes</t>
        </is>
      </c>
      <c r="E40" s="9" t="inlineStr">
        <is>
          <t>Yes</t>
        </is>
      </c>
      <c r="F40" s="9" t="inlineStr">
        <is>
          <t>Yes</t>
        </is>
      </c>
      <c r="G40" s="9" t="inlineStr">
        <is>
          <t>Yes</t>
        </is>
      </c>
      <c r="H40" s="8" t="inlineStr">
        <is>
          <t>No</t>
        </is>
      </c>
      <c r="I40" s="8" t="inlineStr">
        <is>
          <t>No</t>
        </is>
      </c>
      <c r="J40" s="10" t="inlineStr">
        <is>
          <t>Later</t>
        </is>
      </c>
      <c r="K40" s="6" t="inlineStr">
        <is>
          <t>Exam tested; not current UI</t>
        </is>
      </c>
      <c r="L40" s="6" t="inlineStr">
        <is>
          <t>taxshield</t>
        </is>
      </c>
    </row>
    <row r="41" ht="18" customHeight="1">
      <c r="A41" s="6" t="inlineStr">
        <is>
          <t>Capital structure</t>
        </is>
      </c>
      <c r="B41" s="6" t="inlineStr">
        <is>
          <t>Trade-off value</t>
        </is>
      </c>
      <c r="C41" s="6" t="inlineStr">
        <is>
          <t>V_L = V_U + PVTS - PV distress costs</t>
        </is>
      </c>
      <c r="D41" s="9" t="inlineStr">
        <is>
          <t>Yes</t>
        </is>
      </c>
      <c r="E41" s="9" t="inlineStr">
        <is>
          <t>Yes</t>
        </is>
      </c>
      <c r="F41" s="9" t="inlineStr">
        <is>
          <t>Yes</t>
        </is>
      </c>
      <c r="G41" s="8" t="inlineStr">
        <is>
          <t>No</t>
        </is>
      </c>
      <c r="H41" s="8" t="inlineStr">
        <is>
          <t>No</t>
        </is>
      </c>
      <c r="I41" s="8" t="inlineStr">
        <is>
          <t>No</t>
        </is>
      </c>
      <c r="J41" s="10" t="inlineStr">
        <is>
          <t>Later</t>
        </is>
      </c>
      <c r="K41" s="6" t="inlineStr">
        <is>
          <t>Needed for full financing policy</t>
        </is>
      </c>
      <c r="L41" s="6" t="inlineStr">
        <is>
          <t>distress</t>
        </is>
      </c>
    </row>
    <row r="42" ht="18" customHeight="1">
      <c r="A42" s="6" t="inlineStr">
        <is>
          <t>Cash flows</t>
        </is>
      </c>
      <c r="B42" s="6" t="inlineStr">
        <is>
          <t>Free cash flow</t>
        </is>
      </c>
      <c r="C42" s="6" t="inlineStr">
        <is>
          <t>FCF = EBIT(1-T_c) + Depreciation - Capex - Delta NWC</t>
        </is>
      </c>
      <c r="D42" s="8" t="inlineStr">
        <is>
          <t>No</t>
        </is>
      </c>
      <c r="E42" s="9" t="inlineStr">
        <is>
          <t>Yes</t>
        </is>
      </c>
      <c r="F42" s="9" t="inlineStr">
        <is>
          <t>Yes</t>
        </is>
      </c>
      <c r="G42" s="9" t="inlineStr">
        <is>
          <t>Yes</t>
        </is>
      </c>
      <c r="H42" s="9" t="inlineStr">
        <is>
          <t>Yes</t>
        </is>
      </c>
      <c r="I42" s="9" t="inlineStr">
        <is>
          <t>Yes</t>
        </is>
      </c>
      <c r="J42" s="9" t="inlineStr">
        <is>
          <t>Yes</t>
        </is>
      </c>
      <c r="K42" s="6" t="inlineStr">
        <is>
          <t>Core current product</t>
        </is>
      </c>
      <c r="L42" s="6" t="inlineStr">
        <is>
          <t>fcf</t>
        </is>
      </c>
    </row>
    <row r="43" ht="18" customHeight="1">
      <c r="A43" s="6" t="inlineStr">
        <is>
          <t>Cash flows</t>
        </is>
      </c>
      <c r="B43" s="6" t="inlineStr">
        <is>
          <t>Net working capital</t>
        </is>
      </c>
      <c r="C43" s="6" t="inlineStr">
        <is>
          <t>NWC = AR + Inventory - AP</t>
        </is>
      </c>
      <c r="D43" s="8" t="inlineStr">
        <is>
          <t>No</t>
        </is>
      </c>
      <c r="E43" s="9" t="inlineStr">
        <is>
          <t>Yes</t>
        </is>
      </c>
      <c r="F43" s="9" t="inlineStr">
        <is>
          <t>Yes</t>
        </is>
      </c>
      <c r="G43" s="8" t="inlineStr">
        <is>
          <t>No</t>
        </is>
      </c>
      <c r="H43" s="8" t="inlineStr">
        <is>
          <t>No</t>
        </is>
      </c>
      <c r="I43" s="9" t="inlineStr">
        <is>
          <t>Yes</t>
        </is>
      </c>
      <c r="J43" s="10" t="inlineStr">
        <is>
          <t>Later</t>
        </is>
      </c>
      <c r="K43" s="6" t="inlineStr">
        <is>
          <t>Change in working capital can be used as input; explicit NWC component formula is not implemented</t>
        </is>
      </c>
      <c r="L43" s="6" t="inlineStr">
        <is>
          <t>nwc</t>
        </is>
      </c>
    </row>
    <row r="44" ht="18" customHeight="1">
      <c r="A44" s="6" t="inlineStr">
        <is>
          <t>Valuation</t>
        </is>
      </c>
      <c r="B44" s="6" t="inlineStr">
        <is>
          <t>Terminal value</t>
        </is>
      </c>
      <c r="C44" s="6" t="inlineStr">
        <is>
          <t>TV_n = FCF_n x (1+g) / (WACC-g)</t>
        </is>
      </c>
      <c r="D44" s="9" t="inlineStr">
        <is>
          <t>Yes</t>
        </is>
      </c>
      <c r="E44" s="9" t="inlineStr">
        <is>
          <t>Yes</t>
        </is>
      </c>
      <c r="F44" s="9" t="inlineStr">
        <is>
          <t>Yes</t>
        </is>
      </c>
      <c r="G44" s="9" t="inlineStr">
        <is>
          <t>Yes</t>
        </is>
      </c>
      <c r="H44" s="9" t="inlineStr">
        <is>
          <t>Yes</t>
        </is>
      </c>
      <c r="I44" s="9" t="inlineStr">
        <is>
          <t>Yes</t>
        </is>
      </c>
      <c r="J44" s="9" t="inlineStr">
        <is>
          <t>Yes</t>
        </is>
      </c>
      <c r="K44" s="6" t="inlineStr">
        <is>
          <t>Core current product</t>
        </is>
      </c>
      <c r="L44" s="6" t="inlineStr">
        <is>
          <t>terminal</t>
        </is>
      </c>
    </row>
    <row r="45" ht="18" customHeight="1">
      <c r="A45" s="6" t="inlineStr">
        <is>
          <t>Valuation</t>
        </is>
      </c>
      <c r="B45" s="6" t="inlineStr">
        <is>
          <t>Enterprise value DCF</t>
        </is>
      </c>
      <c r="C45" s="6" t="inlineStr">
        <is>
          <t>EV = sum(FCF_t/(1+WACC)^t) + TV/(1+WACC)^n</t>
        </is>
      </c>
      <c r="D45" s="9" t="inlineStr">
        <is>
          <t>Yes</t>
        </is>
      </c>
      <c r="E45" s="9" t="inlineStr">
        <is>
          <t>Yes</t>
        </is>
      </c>
      <c r="F45" s="9" t="inlineStr">
        <is>
          <t>Yes</t>
        </is>
      </c>
      <c r="G45" s="9" t="inlineStr">
        <is>
          <t>Yes</t>
        </is>
      </c>
      <c r="H45" s="9" t="inlineStr">
        <is>
          <t>Yes</t>
        </is>
      </c>
      <c r="I45" s="9" t="inlineStr">
        <is>
          <t>Yes</t>
        </is>
      </c>
      <c r="J45" s="9" t="inlineStr">
        <is>
          <t>Yes</t>
        </is>
      </c>
      <c r="K45" s="6" t="inlineStr">
        <is>
          <t>Core current product</t>
        </is>
      </c>
      <c r="L45" s="6" t="inlineStr">
        <is>
          <t>dcf</t>
        </is>
      </c>
    </row>
    <row r="46" ht="18" customHeight="1">
      <c r="A46" s="6" t="inlineStr">
        <is>
          <t>Valuation</t>
        </is>
      </c>
      <c r="B46" s="6" t="inlineStr">
        <is>
          <t>Equity value bridge</t>
        </is>
      </c>
      <c r="C46" s="6" t="inlineStr">
        <is>
          <t>Equity value = EV - Net debt</t>
        </is>
      </c>
      <c r="D46" s="8" t="inlineStr">
        <is>
          <t>No</t>
        </is>
      </c>
      <c r="E46" s="9" t="inlineStr">
        <is>
          <t>Yes</t>
        </is>
      </c>
      <c r="F46" s="9" t="inlineStr">
        <is>
          <t>Yes</t>
        </is>
      </c>
      <c r="G46" s="9" t="inlineStr">
        <is>
          <t>Yes</t>
        </is>
      </c>
      <c r="H46" s="9" t="inlineStr">
        <is>
          <t>Yes</t>
        </is>
      </c>
      <c r="I46" s="9" t="inlineStr">
        <is>
          <t>Yes</t>
        </is>
      </c>
      <c r="J46" s="9" t="inlineStr">
        <is>
          <t>Yes</t>
        </is>
      </c>
      <c r="K46" s="6" t="inlineStr">
        <is>
          <t>Core current product</t>
        </is>
      </c>
      <c r="L46" s="6" t="inlineStr">
        <is>
          <t>—  (valuation lab only)</t>
        </is>
      </c>
    </row>
    <row r="47" ht="18" customHeight="1">
      <c r="A47" s="6" t="inlineStr">
        <is>
          <t>Valuation</t>
        </is>
      </c>
      <c r="B47" s="6" t="inlineStr">
        <is>
          <t>Intrinsic value per share</t>
        </is>
      </c>
      <c r="C47" s="6" t="inlineStr">
        <is>
          <t>IV/share = Equity value / diluted shares</t>
        </is>
      </c>
      <c r="D47" s="8" t="inlineStr">
        <is>
          <t>No</t>
        </is>
      </c>
      <c r="E47" s="9" t="inlineStr">
        <is>
          <t>Yes</t>
        </is>
      </c>
      <c r="F47" s="9" t="inlineStr">
        <is>
          <t>Yes</t>
        </is>
      </c>
      <c r="G47" s="9" t="inlineStr">
        <is>
          <t>Yes</t>
        </is>
      </c>
      <c r="H47" s="9" t="inlineStr">
        <is>
          <t>Yes</t>
        </is>
      </c>
      <c r="I47" s="9" t="inlineStr">
        <is>
          <t>Yes</t>
        </is>
      </c>
      <c r="J47" s="9" t="inlineStr">
        <is>
          <t>Yes</t>
        </is>
      </c>
      <c r="K47" s="6" t="inlineStr">
        <is>
          <t>Core current product</t>
        </is>
      </c>
      <c r="L47" s="6" t="inlineStr">
        <is>
          <t>ddm</t>
        </is>
      </c>
    </row>
    <row r="48" ht="18" customHeight="1">
      <c r="A48" s="6" t="inlineStr">
        <is>
          <t>Valuation</t>
        </is>
      </c>
      <c r="B48" s="6" t="inlineStr">
        <is>
          <t>Reverse DCF</t>
        </is>
      </c>
      <c r="C48" s="6" t="inlineStr">
        <is>
          <t>Solve for g such that IV(g) = current market price</t>
        </is>
      </c>
      <c r="D48" s="8" t="inlineStr">
        <is>
          <t>No</t>
        </is>
      </c>
      <c r="E48" s="8" t="inlineStr">
        <is>
          <t>No</t>
        </is>
      </c>
      <c r="F48" s="8" t="inlineStr">
        <is>
          <t>No</t>
        </is>
      </c>
      <c r="G48" s="9" t="inlineStr">
        <is>
          <t>Yes</t>
        </is>
      </c>
      <c r="H48" s="9" t="inlineStr">
        <is>
          <t>Yes</t>
        </is>
      </c>
      <c r="I48" s="9" t="inlineStr">
        <is>
          <t>Yes</t>
        </is>
      </c>
      <c r="J48" s="9" t="inlineStr">
        <is>
          <t>Yes</t>
        </is>
      </c>
      <c r="K48" s="6" t="inlineStr">
        <is>
          <t>OpenQuant-specific practical layer</t>
        </is>
      </c>
      <c r="L48" s="6" t="inlineStr">
        <is>
          <t>—  (valuation lab only)</t>
        </is>
      </c>
    </row>
    <row r="49" ht="18" customHeight="1">
      <c r="A49" s="6" t="inlineStr">
        <is>
          <t>Investment decisions</t>
        </is>
      </c>
      <c r="B49" s="6" t="inlineStr">
        <is>
          <t>NPV</t>
        </is>
      </c>
      <c r="C49" s="6" t="inlineStr">
        <is>
          <t>NPV = sum(C_t/(1+r)^t)</t>
        </is>
      </c>
      <c r="D49" s="9" t="inlineStr">
        <is>
          <t>Yes</t>
        </is>
      </c>
      <c r="E49" s="9" t="inlineStr">
        <is>
          <t>Yes</t>
        </is>
      </c>
      <c r="F49" s="9" t="inlineStr">
        <is>
          <t>Yes</t>
        </is>
      </c>
      <c r="G49" s="9" t="inlineStr">
        <is>
          <t>Yes</t>
        </is>
      </c>
      <c r="H49" s="8" t="inlineStr">
        <is>
          <t>No</t>
        </is>
      </c>
      <c r="I49" s="9" t="inlineStr">
        <is>
          <t>Yes</t>
        </is>
      </c>
      <c r="J49" s="10" t="inlineStr">
        <is>
          <t>Later</t>
        </is>
      </c>
      <c r="K49" s="6" t="inlineStr">
        <is>
          <t>Implemented/tested; Project Lab missing</t>
        </is>
      </c>
      <c r="L49" s="6" t="inlineStr">
        <is>
          <t>npv</t>
        </is>
      </c>
    </row>
    <row r="50" ht="18" customHeight="1">
      <c r="A50" s="6" t="inlineStr">
        <is>
          <t>Investment decisions</t>
        </is>
      </c>
      <c r="B50" s="6" t="inlineStr">
        <is>
          <t>IRR</t>
        </is>
      </c>
      <c r="C50" s="6" t="inlineStr">
        <is>
          <t>0 = sum(C_t/(1+IRR)^t)</t>
        </is>
      </c>
      <c r="D50" s="9" t="inlineStr">
        <is>
          <t>Yes</t>
        </is>
      </c>
      <c r="E50" s="9" t="inlineStr">
        <is>
          <t>Yes</t>
        </is>
      </c>
      <c r="F50" s="9" t="inlineStr">
        <is>
          <t>Yes</t>
        </is>
      </c>
      <c r="G50" s="9" t="inlineStr">
        <is>
          <t>Yes</t>
        </is>
      </c>
      <c r="H50" s="8" t="inlineStr">
        <is>
          <t>No</t>
        </is>
      </c>
      <c r="I50" s="8" t="inlineStr">
        <is>
          <t>No</t>
        </is>
      </c>
      <c r="J50" s="10" t="inlineStr">
        <is>
          <t>Later</t>
        </is>
      </c>
      <c r="K50" s="6" t="inlineStr">
        <is>
          <t>Implemented/tested; Project Lab missing</t>
        </is>
      </c>
      <c r="L50" s="6" t="inlineStr">
        <is>
          <t>irr</t>
        </is>
      </c>
    </row>
    <row r="51" ht="18" customHeight="1">
      <c r="A51" s="6" t="inlineStr">
        <is>
          <t>Investment decisions</t>
        </is>
      </c>
      <c r="B51" s="6" t="inlineStr">
        <is>
          <t>Profitability index</t>
        </is>
      </c>
      <c r="C51" s="6" t="inlineStr">
        <is>
          <t>PI = NPV / Initial investment</t>
        </is>
      </c>
      <c r="D51" s="9" t="inlineStr">
        <is>
          <t>Yes</t>
        </is>
      </c>
      <c r="E51" s="9" t="inlineStr">
        <is>
          <t>Yes</t>
        </is>
      </c>
      <c r="F51" s="9" t="inlineStr">
        <is>
          <t>Yes</t>
        </is>
      </c>
      <c r="G51" s="8" t="inlineStr">
        <is>
          <t>No</t>
        </is>
      </c>
      <c r="H51" s="8" t="inlineStr">
        <is>
          <t>No</t>
        </is>
      </c>
      <c r="I51" s="8" t="inlineStr">
        <is>
          <t>No</t>
        </is>
      </c>
      <c r="J51" s="10" t="inlineStr">
        <is>
          <t>Later</t>
        </is>
      </c>
      <c r="K51" s="6" t="inlineStr">
        <is>
          <t>Project Lab</t>
        </is>
      </c>
      <c r="L51" s="6" t="inlineStr">
        <is>
          <t>pi</t>
        </is>
      </c>
    </row>
    <row r="52" ht="18" customHeight="1">
      <c r="A52" s="6" t="inlineStr">
        <is>
          <t>Stocks</t>
        </is>
      </c>
      <c r="B52" s="6" t="inlineStr">
        <is>
          <t>Basic stock valuation</t>
        </is>
      </c>
      <c r="C52" s="6" t="inlineStr">
        <is>
          <t>P_0 = sum(DIV_t/(1+r)^t)</t>
        </is>
      </c>
      <c r="D52" s="9" t="inlineStr">
        <is>
          <t>Yes</t>
        </is>
      </c>
      <c r="E52" s="9" t="inlineStr">
        <is>
          <t>Yes</t>
        </is>
      </c>
      <c r="F52" s="9" t="inlineStr">
        <is>
          <t>Yes</t>
        </is>
      </c>
      <c r="G52" s="9" t="inlineStr">
        <is>
          <t>Yes</t>
        </is>
      </c>
      <c r="H52" s="8" t="inlineStr">
        <is>
          <t>No</t>
        </is>
      </c>
      <c r="I52" s="8" t="inlineStr">
        <is>
          <t>No</t>
        </is>
      </c>
      <c r="J52" s="10" t="inlineStr">
        <is>
          <t>Later</t>
        </is>
      </c>
      <c r="K52" s="6" t="inlineStr">
        <is>
          <t>DDM tests exist; not current product</t>
        </is>
      </c>
      <c r="L52" s="6" t="inlineStr">
        <is>
          <t>ddm</t>
        </is>
      </c>
    </row>
    <row r="53" ht="18" customHeight="1">
      <c r="A53" s="6" t="inlineStr">
        <is>
          <t>Stocks</t>
        </is>
      </c>
      <c r="B53" s="6" t="inlineStr">
        <is>
          <t>Constant growth stock</t>
        </is>
      </c>
      <c r="C53" s="6" t="inlineStr">
        <is>
          <t>P_0 = DIV_1 / (r-g)</t>
        </is>
      </c>
      <c r="D53" s="9" t="inlineStr">
        <is>
          <t>Yes</t>
        </is>
      </c>
      <c r="E53" s="9" t="inlineStr">
        <is>
          <t>Yes</t>
        </is>
      </c>
      <c r="F53" s="9" t="inlineStr">
        <is>
          <t>Yes</t>
        </is>
      </c>
      <c r="G53" s="9" t="inlineStr">
        <is>
          <t>Yes</t>
        </is>
      </c>
      <c r="H53" s="8" t="inlineStr">
        <is>
          <t>No</t>
        </is>
      </c>
      <c r="I53" s="8" t="inlineStr">
        <is>
          <t>No</t>
        </is>
      </c>
      <c r="J53" s="10" t="inlineStr">
        <is>
          <t>Later</t>
        </is>
      </c>
      <c r="K53" s="6" t="inlineStr">
        <is>
          <t>DDM tests; not current product</t>
        </is>
      </c>
      <c r="L53" s="6" t="inlineStr">
        <is>
          <t>ddm</t>
        </is>
      </c>
    </row>
    <row r="54" ht="18" customHeight="1">
      <c r="A54" s="6" t="inlineStr">
        <is>
          <t>Derivatives</t>
        </is>
      </c>
      <c r="B54" s="6" t="inlineStr">
        <is>
          <t>Forward price continuous compounding</t>
        </is>
      </c>
      <c r="C54" s="6" t="inlineStr">
        <is>
          <t>F = S x exp((r + storage - yield) x T)</t>
        </is>
      </c>
      <c r="D54" s="9" t="inlineStr">
        <is>
          <t>Yes</t>
        </is>
      </c>
      <c r="E54" s="9" t="inlineStr">
        <is>
          <t>Yes</t>
        </is>
      </c>
      <c r="F54" s="9" t="inlineStr">
        <is>
          <t>Yes</t>
        </is>
      </c>
      <c r="G54" s="8" t="inlineStr">
        <is>
          <t>No</t>
        </is>
      </c>
      <c r="H54" s="8" t="inlineStr">
        <is>
          <t>No</t>
        </is>
      </c>
      <c r="I54" s="8" t="inlineStr">
        <is>
          <t>No</t>
        </is>
      </c>
      <c r="J54" s="10" t="inlineStr">
        <is>
          <t>Only if scope expands</t>
        </is>
      </c>
      <c r="K54" s="6" t="inlineStr">
        <is>
          <t>Derivatives out of scope</t>
        </is>
      </c>
      <c r="L54" s="6" t="inlineStr">
        <is>
          <t>fwdprice</t>
        </is>
      </c>
    </row>
    <row r="55" ht="18" customHeight="1">
      <c r="A55" s="6" t="inlineStr">
        <is>
          <t>Derivatives</t>
        </is>
      </c>
      <c r="B55" s="6" t="inlineStr">
        <is>
          <t>Put-call parity</t>
        </is>
      </c>
      <c r="C55" s="6" t="inlineStr">
        <is>
          <t>C + PV(K) = P + S_0</t>
        </is>
      </c>
      <c r="D55" s="9" t="inlineStr">
        <is>
          <t>Yes</t>
        </is>
      </c>
      <c r="E55" s="9" t="inlineStr">
        <is>
          <t>Yes</t>
        </is>
      </c>
      <c r="F55" s="9" t="inlineStr">
        <is>
          <t>Yes</t>
        </is>
      </c>
      <c r="G55" s="8" t="inlineStr">
        <is>
          <t>No</t>
        </is>
      </c>
      <c r="H55" s="8" t="inlineStr">
        <is>
          <t>No</t>
        </is>
      </c>
      <c r="I55" s="8" t="inlineStr">
        <is>
          <t>No</t>
        </is>
      </c>
      <c r="J55" s="10" t="inlineStr">
        <is>
          <t>Only if scope expands</t>
        </is>
      </c>
      <c r="K55" s="6" t="inlineStr">
        <is>
          <t>Derivatives out of scope</t>
        </is>
      </c>
      <c r="L55" s="6" t="inlineStr">
        <is>
          <t>putcall</t>
        </is>
      </c>
    </row>
    <row r="56" ht="18" customHeight="1">
      <c r="A56" s="6" t="inlineStr">
        <is>
          <t>Derivatives</t>
        </is>
      </c>
      <c r="B56" s="6" t="inlineStr">
        <is>
          <t>Option payoff</t>
        </is>
      </c>
      <c r="C56" s="6" t="inlineStr">
        <is>
          <t>Call=max(S_T-K,0); Put=max(K-S_T,0)</t>
        </is>
      </c>
      <c r="D56" s="9" t="inlineStr">
        <is>
          <t>Yes</t>
        </is>
      </c>
      <c r="E56" s="9" t="inlineStr">
        <is>
          <t>Yes</t>
        </is>
      </c>
      <c r="F56" s="9" t="inlineStr">
        <is>
          <t>Yes</t>
        </is>
      </c>
      <c r="G56" s="8" t="inlineStr">
        <is>
          <t>No</t>
        </is>
      </c>
      <c r="H56" s="8" t="inlineStr">
        <is>
          <t>No</t>
        </is>
      </c>
      <c r="I56" s="8" t="inlineStr">
        <is>
          <t>No</t>
        </is>
      </c>
      <c r="J56" s="10" t="inlineStr">
        <is>
          <t>Only if scope expands</t>
        </is>
      </c>
      <c r="K56" s="6" t="inlineStr">
        <is>
          <t>Derivatives out of scope</t>
        </is>
      </c>
      <c r="L56" s="6" t="inlineStr">
        <is>
          <t>optpayoff</t>
        </is>
      </c>
    </row>
    <row r="57" ht="18" customHeight="1">
      <c r="A57" s="6" t="inlineStr">
        <is>
          <t>Derivatives</t>
        </is>
      </c>
      <c r="B57" s="6" t="inlineStr">
        <is>
          <t>Binomial option pricing</t>
        </is>
      </c>
      <c r="C57" s="6" t="inlineStr">
        <is>
          <t>Option value = discounted expected risk-neutral payoff</t>
        </is>
      </c>
      <c r="D57" s="9" t="inlineStr">
        <is>
          <t>Yes</t>
        </is>
      </c>
      <c r="E57" s="9" t="inlineStr">
        <is>
          <t>Yes</t>
        </is>
      </c>
      <c r="F57" s="9" t="inlineStr">
        <is>
          <t>Yes</t>
        </is>
      </c>
      <c r="G57" s="8" t="inlineStr">
        <is>
          <t>No</t>
        </is>
      </c>
      <c r="H57" s="8" t="inlineStr">
        <is>
          <t>No</t>
        </is>
      </c>
      <c r="I57" s="8" t="inlineStr">
        <is>
          <t>No</t>
        </is>
      </c>
      <c r="J57" s="10" t="inlineStr">
        <is>
          <t>Only if scope expands</t>
        </is>
      </c>
      <c r="K57" s="6" t="inlineStr">
        <is>
          <t>Derivatives out of scope</t>
        </is>
      </c>
      <c r="L57" s="6" t="inlineStr">
        <is>
          <t>binomial</t>
        </is>
      </c>
    </row>
    <row r="58" ht="18" customHeight="1">
      <c r="A58" s="6" t="inlineStr">
        <is>
          <t>Derivatives</t>
        </is>
      </c>
      <c r="B58" s="6" t="inlineStr">
        <is>
          <t>Black-Scholes</t>
        </is>
      </c>
      <c r="C58" s="6" t="inlineStr">
        <is>
          <t>C = S_0N(d1) - Ke^(-rT)N(d2)</t>
        </is>
      </c>
      <c r="D58" s="9" t="inlineStr">
        <is>
          <t>Yes</t>
        </is>
      </c>
      <c r="E58" s="9" t="inlineStr">
        <is>
          <t>Yes</t>
        </is>
      </c>
      <c r="F58" s="9" t="inlineStr">
        <is>
          <t>Yes</t>
        </is>
      </c>
      <c r="G58" s="8" t="inlineStr">
        <is>
          <t>No</t>
        </is>
      </c>
      <c r="H58" s="8" t="inlineStr">
        <is>
          <t>No</t>
        </is>
      </c>
      <c r="I58" s="8" t="inlineStr">
        <is>
          <t>No</t>
        </is>
      </c>
      <c r="J58" s="10" t="inlineStr">
        <is>
          <t>Only if scope expands</t>
        </is>
      </c>
      <c r="K58" s="6" t="inlineStr">
        <is>
          <t>Derivatives out of scope</t>
        </is>
      </c>
      <c r="L58" s="6" t="inlineStr">
        <is>
          <t>bs</t>
        </is>
      </c>
    </row>
  </sheetData>
  <autoFilter ref="A4:K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38" customWidth="1" min="4" max="4"/>
    <col width="18" customWidth="1" min="5" max="5"/>
    <col width="20" customWidth="1" min="6" max="6"/>
    <col width="20" customWidth="1" min="7" max="7"/>
    <col width="20" customWidth="1" min="8" max="8"/>
    <col width="48" customWidth="1" min="9" max="9"/>
  </cols>
  <sheetData>
    <row r="1" ht="24" customHeight="1">
      <c r="A1" s="1" t="inlineStr">
        <is>
          <t>Exam Mapping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Sample exam knowledge mapped to implemented tests and product scope.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8" customHeight="1">
      <c r="A4" s="4" t="inlineStr">
        <is>
          <t>Exam</t>
        </is>
      </c>
      <c r="B4" s="4" t="inlineStr">
        <is>
          <t>Problem</t>
        </is>
      </c>
      <c r="C4" s="4" t="inlineStr">
        <is>
          <t>Knowledge tested</t>
        </is>
      </c>
      <c r="D4" s="4" t="inlineStr">
        <is>
          <t>Formula / method</t>
        </is>
      </c>
      <c r="E4" s="4" t="inlineStr">
        <is>
          <t>OpenQuant test?</t>
        </is>
      </c>
      <c r="F4" s="4" t="inlineStr">
        <is>
          <t>OpenQuant implemented?</t>
        </is>
      </c>
      <c r="G4" s="4" t="inlineStr">
        <is>
          <t>OpenQuant productized?</t>
        </is>
      </c>
      <c r="H4" s="4" t="inlineStr">
        <is>
          <t>Scope</t>
        </is>
      </c>
      <c r="I4" s="4" t="inlineStr">
        <is>
          <t>Notes</t>
        </is>
      </c>
    </row>
    <row r="5" ht="18" customHeight="1">
      <c r="A5" s="6" t="inlineStr">
        <is>
          <t>SampleExam1</t>
        </is>
      </c>
      <c r="B5" s="6" t="inlineStr">
        <is>
          <t>Problem 1</t>
        </is>
      </c>
      <c r="C5" s="6" t="inlineStr">
        <is>
          <t>Perfect capital markets, WACC, capital structure theory</t>
        </is>
      </c>
      <c r="D5" s="6" t="inlineStr">
        <is>
          <t>MM, WACC, project discount-rate reasoning</t>
        </is>
      </c>
      <c r="E5" s="8" t="inlineStr">
        <is>
          <t>No</t>
        </is>
      </c>
      <c r="F5" s="10" t="inlineStr">
        <is>
          <t>Partial</t>
        </is>
      </c>
      <c r="G5" s="8" t="inlineStr">
        <is>
          <t>No</t>
        </is>
      </c>
      <c r="H5" s="6" t="inlineStr">
        <is>
          <t>Corporate finance</t>
        </is>
      </c>
      <c r="I5" s="6" t="inlineStr">
        <is>
          <t>Theory MCQs; not ideal as product output</t>
        </is>
      </c>
    </row>
    <row r="6" ht="18" customHeight="1">
      <c r="A6" s="6" t="inlineStr">
        <is>
          <t>SampleExam1</t>
        </is>
      </c>
      <c r="B6" s="6" t="inlineStr">
        <is>
          <t>Problem 2</t>
        </is>
      </c>
      <c r="C6" s="6" t="inlineStr">
        <is>
          <t>Investment project FCF, WACC from comparables, PV tax shield</t>
        </is>
      </c>
      <c r="D6" s="6" t="inlineStr">
        <is>
          <t>FCF, Hamada beta, CAPM, PVTS</t>
        </is>
      </c>
      <c r="E6" s="9" t="inlineStr">
        <is>
          <t>Yes</t>
        </is>
      </c>
      <c r="F6" s="9" t="inlineStr">
        <is>
          <t>Yes</t>
        </is>
      </c>
      <c r="G6" s="10" t="inlineStr">
        <is>
          <t>Partial</t>
        </is>
      </c>
      <c r="H6" s="6" t="inlineStr">
        <is>
          <t>Corporate finance</t>
        </is>
      </c>
      <c r="I6" s="6" t="inlineStr">
        <is>
          <t>Implemented as formula tests; project lab not productized</t>
        </is>
      </c>
    </row>
    <row r="7" ht="18" customHeight="1">
      <c r="A7" s="6" t="inlineStr">
        <is>
          <t>SampleExam1</t>
        </is>
      </c>
      <c r="B7" s="6" t="inlineStr">
        <is>
          <t>Problem 3</t>
        </is>
      </c>
      <c r="C7" s="6" t="inlineStr">
        <is>
          <t>NPV vs IRR and mutually exclusive projects</t>
        </is>
      </c>
      <c r="D7" s="6" t="inlineStr">
        <is>
          <t>NPV, IRR, incremental IRR</t>
        </is>
      </c>
      <c r="E7" s="9" t="inlineStr">
        <is>
          <t>Yes</t>
        </is>
      </c>
      <c r="F7" s="9" t="inlineStr">
        <is>
          <t>Yes</t>
        </is>
      </c>
      <c r="G7" s="8" t="inlineStr">
        <is>
          <t>No</t>
        </is>
      </c>
      <c r="H7" s="6" t="inlineStr">
        <is>
          <t>Corporate finance</t>
        </is>
      </c>
      <c r="I7" s="6" t="inlineStr">
        <is>
          <t>Tests exist; project decision screen missing</t>
        </is>
      </c>
    </row>
    <row r="8" ht="18" customHeight="1">
      <c r="A8" s="6" t="inlineStr">
        <is>
          <t>SampleExam1</t>
        </is>
      </c>
      <c r="B8" s="6" t="inlineStr">
        <is>
          <t>Problem 4</t>
        </is>
      </c>
      <c r="C8" s="6" t="inlineStr">
        <is>
          <t>Derivatives</t>
        </is>
      </c>
      <c r="D8" s="6" t="inlineStr">
        <is>
          <t>Derivative pricing/payoff reasoning</t>
        </is>
      </c>
      <c r="E8" s="8" t="inlineStr">
        <is>
          <t>No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Out of scope</t>
        </is>
      </c>
      <c r="I8" s="6" t="inlineStr">
        <is>
          <t>Current OpenQuant does not cover course second part</t>
        </is>
      </c>
    </row>
    <row r="9" ht="18" customHeight="1">
      <c r="A9" s="6" t="inlineStr">
        <is>
          <t>SampleExam2</t>
        </is>
      </c>
      <c r="B9" s="6" t="inlineStr">
        <is>
          <t>Problem 1</t>
        </is>
      </c>
      <c r="C9" s="6" t="inlineStr">
        <is>
          <t>Warm-up TVM, growing annuity, compounding, bonds/rates</t>
        </is>
      </c>
      <c r="D9" s="6" t="inlineStr">
        <is>
          <t>Compounding, growing annuity, zero-coupon, forward rates, coupon bond</t>
        </is>
      </c>
      <c r="E9" s="10" t="inlineStr">
        <is>
          <t>Partial</t>
        </is>
      </c>
      <c r="F9" s="10" t="inlineStr">
        <is>
          <t>Partial</t>
        </is>
      </c>
      <c r="G9" s="8" t="inlineStr">
        <is>
          <t>No</t>
        </is>
      </c>
      <c r="H9" s="6" t="inlineStr">
        <is>
          <t>Mixed</t>
        </is>
      </c>
      <c r="I9" s="6" t="inlineStr">
        <is>
          <t>Growing annuity tested; bonds/rates not productized</t>
        </is>
      </c>
    </row>
    <row r="10" ht="18" customHeight="1">
      <c r="A10" s="6" t="inlineStr">
        <is>
          <t>SampleExam2</t>
        </is>
      </c>
      <c r="B10" s="6" t="inlineStr">
        <is>
          <t>Problem 2</t>
        </is>
      </c>
      <c r="C10" s="6" t="inlineStr">
        <is>
          <t>Multi-stage stock valuation</t>
        </is>
      </c>
      <c r="D10" s="6" t="inlineStr">
        <is>
          <t>DDM, terminal price, NPV of dividends, capital gain</t>
        </is>
      </c>
      <c r="E10" s="9" t="inlineStr">
        <is>
          <t>Yes</t>
        </is>
      </c>
      <c r="F10" s="9" t="inlineStr">
        <is>
          <t>Yes</t>
        </is>
      </c>
      <c r="G10" s="8" t="inlineStr">
        <is>
          <t>No</t>
        </is>
      </c>
      <c r="H10" s="6" t="inlineStr">
        <is>
          <t>Equity valuation</t>
        </is>
      </c>
      <c r="I10" s="6" t="inlineStr">
        <is>
          <t>Implemented as tests; current product uses FCF DCF</t>
        </is>
      </c>
    </row>
    <row r="11" ht="18" customHeight="1">
      <c r="A11" s="6" t="inlineStr">
        <is>
          <t>SampleExam2</t>
        </is>
      </c>
      <c r="B11" s="6" t="inlineStr">
        <is>
          <t>Problem 3</t>
        </is>
      </c>
      <c r="C11" s="6" t="inlineStr">
        <is>
          <t>Beta from correlation and CAPM</t>
        </is>
      </c>
      <c r="D11" s="6" t="inlineStr">
        <is>
          <t>beta = rho sigma_i / sigma_m; CAPM</t>
        </is>
      </c>
      <c r="E11" s="9" t="inlineStr">
        <is>
          <t>Yes</t>
        </is>
      </c>
      <c r="F11" s="9" t="inlineStr">
        <is>
          <t>Yes</t>
        </is>
      </c>
      <c r="G11" s="10" t="inlineStr">
        <is>
          <t>Partial</t>
        </is>
      </c>
      <c r="H11" s="6" t="inlineStr">
        <is>
          <t>Risk/return</t>
        </is>
      </c>
      <c r="I11" s="6" t="inlineStr">
        <is>
          <t>CAPM productized through WACC; correlation-beta is test-only</t>
        </is>
      </c>
    </row>
    <row r="12" ht="18" customHeight="1">
      <c r="A12" s="6" t="inlineStr">
        <is>
          <t>SampleExam2</t>
        </is>
      </c>
      <c r="B12" s="6" t="inlineStr">
        <is>
          <t>Problem 4</t>
        </is>
      </c>
      <c r="C12" s="6" t="inlineStr">
        <is>
          <t>Asset allocation and portfolio volatility</t>
        </is>
      </c>
      <c r="D12" s="6" t="inlineStr">
        <is>
          <t>Portfolio return, variance, min variance weight</t>
        </is>
      </c>
      <c r="E12" s="9" t="inlineStr">
        <is>
          <t>Yes</t>
        </is>
      </c>
      <c r="F12" s="9" t="inlineStr">
        <is>
          <t>Yes</t>
        </is>
      </c>
      <c r="G12" s="8" t="inlineStr">
        <is>
          <t>No</t>
        </is>
      </c>
      <c r="H12" s="6" t="inlineStr">
        <is>
          <t>Portfolio</t>
        </is>
      </c>
      <c r="I12" s="6" t="inlineStr">
        <is>
          <t>Tests exist; portfolio lab missing</t>
        </is>
      </c>
    </row>
    <row r="13" ht="18" customHeight="1">
      <c r="A13" s="6" t="inlineStr">
        <is>
          <t>SampleExam2</t>
        </is>
      </c>
      <c r="B13" s="6" t="inlineStr">
        <is>
          <t>Problem 5</t>
        </is>
      </c>
      <c r="C13" s="6" t="inlineStr">
        <is>
          <t>Idiosyncratic variance and Sharpe ratio</t>
        </is>
      </c>
      <c r="D13" s="6" t="inlineStr">
        <is>
          <t>Idiosyncratic variance, Sharpe</t>
        </is>
      </c>
      <c r="E13" s="9" t="inlineStr">
        <is>
          <t>Yes</t>
        </is>
      </c>
      <c r="F13" s="9" t="inlineStr">
        <is>
          <t>Yes</t>
        </is>
      </c>
      <c r="G13" s="8" t="inlineStr">
        <is>
          <t>No</t>
        </is>
      </c>
      <c r="H13" s="6" t="inlineStr">
        <is>
          <t>Portfolio</t>
        </is>
      </c>
      <c r="I13" s="6" t="inlineStr">
        <is>
          <t>Tests exist; portfolio lab missing</t>
        </is>
      </c>
    </row>
    <row r="14" ht="18" customHeight="1">
      <c r="A14" s="6" t="inlineStr">
        <is>
          <t>SampleExam3</t>
        </is>
      </c>
      <c r="B14" s="6" t="inlineStr">
        <is>
          <t>Problem 1</t>
        </is>
      </c>
      <c r="C14" s="6" t="inlineStr">
        <is>
          <t>PV comparison of business-sale offers</t>
        </is>
      </c>
      <c r="D14" s="6" t="inlineStr">
        <is>
          <t>PV, NPV</t>
        </is>
      </c>
      <c r="E14" s="8" t="inlineStr">
        <is>
          <t>No</t>
        </is>
      </c>
      <c r="F14" s="9" t="inlineStr">
        <is>
          <t>Yes</t>
        </is>
      </c>
      <c r="G14" s="8" t="inlineStr">
        <is>
          <t>No</t>
        </is>
      </c>
      <c r="H14" s="6" t="inlineStr">
        <is>
          <t>Time value</t>
        </is>
      </c>
      <c r="I14" s="6" t="inlineStr">
        <is>
          <t>Could be demonstration; not needed in current product</t>
        </is>
      </c>
    </row>
    <row r="15" ht="18" customHeight="1">
      <c r="A15" s="6" t="inlineStr">
        <is>
          <t>SampleExam3</t>
        </is>
      </c>
      <c r="B15" s="6" t="inlineStr">
        <is>
          <t>Problem 2</t>
        </is>
      </c>
      <c r="C15" s="6" t="inlineStr">
        <is>
          <t>Retirement savings and withdrawals</t>
        </is>
      </c>
      <c r="D15" s="6" t="inlineStr">
        <is>
          <t>Growing annuity, annuity payout</t>
        </is>
      </c>
      <c r="E15" s="8" t="inlineStr">
        <is>
          <t>No</t>
        </is>
      </c>
      <c r="F15" s="10" t="inlineStr">
        <is>
          <t>Partial</t>
        </is>
      </c>
      <c r="G15" s="8" t="inlineStr">
        <is>
          <t>No</t>
        </is>
      </c>
      <c r="H15" s="6" t="inlineStr">
        <is>
          <t>Time value</t>
        </is>
      </c>
      <c r="I15" s="6" t="inlineStr">
        <is>
          <t>Could be demonstration; not current product</t>
        </is>
      </c>
    </row>
    <row r="16" ht="18" customHeight="1">
      <c r="A16" s="6" t="inlineStr">
        <is>
          <t>SampleExam3</t>
        </is>
      </c>
      <c r="B16" s="6" t="inlineStr">
        <is>
          <t>Problem 3</t>
        </is>
      </c>
      <c r="C16" s="6" t="inlineStr">
        <is>
          <t>Pricing of risk</t>
        </is>
      </c>
      <c r="D16" s="6" t="inlineStr">
        <is>
          <t>Risk premium / CAPM-style reasoning</t>
        </is>
      </c>
      <c r="E16" s="8" t="inlineStr">
        <is>
          <t>No</t>
        </is>
      </c>
      <c r="F16" s="10" t="inlineStr">
        <is>
          <t>Partial</t>
        </is>
      </c>
      <c r="G16" s="10" t="inlineStr">
        <is>
          <t>Partial</t>
        </is>
      </c>
      <c r="H16" s="6" t="inlineStr">
        <is>
          <t>Risk/return</t>
        </is>
      </c>
      <c r="I16" s="6" t="inlineStr">
        <is>
          <t>Needs detailed mapping if used</t>
        </is>
      </c>
    </row>
    <row r="17" ht="18" customHeight="1">
      <c r="A17" s="6" t="inlineStr">
        <is>
          <t>SampleExam3</t>
        </is>
      </c>
      <c r="B17" s="6" t="inlineStr">
        <is>
          <t>Problem 4</t>
        </is>
      </c>
      <c r="C17" s="6" t="inlineStr">
        <is>
          <t>Asset allocation</t>
        </is>
      </c>
      <c r="D17" s="6" t="inlineStr">
        <is>
          <t>Portfolio return/risk</t>
        </is>
      </c>
      <c r="E17" s="8" t="inlineStr">
        <is>
          <t>No</t>
        </is>
      </c>
      <c r="F17" s="10" t="inlineStr">
        <is>
          <t>Partial</t>
        </is>
      </c>
      <c r="G17" s="8" t="inlineStr">
        <is>
          <t>No</t>
        </is>
      </c>
      <c r="H17" s="6" t="inlineStr">
        <is>
          <t>Portfolio</t>
        </is>
      </c>
      <c r="I17" s="6" t="inlineStr">
        <is>
          <t>Future Portfolio Lab</t>
        </is>
      </c>
    </row>
    <row r="18" ht="18" customHeight="1">
      <c r="A18" s="6" t="inlineStr">
        <is>
          <t>SampleExam3</t>
        </is>
      </c>
      <c r="B18" s="6" t="inlineStr">
        <is>
          <t>Problem 5</t>
        </is>
      </c>
      <c r="C18" s="6" t="inlineStr">
        <is>
          <t>Free cash flows and NPV</t>
        </is>
      </c>
      <c r="D18" s="6" t="inlineStr">
        <is>
          <t>FCF, NPV</t>
        </is>
      </c>
      <c r="E18" s="8" t="inlineStr">
        <is>
          <t>No</t>
        </is>
      </c>
      <c r="F18" s="10" t="inlineStr">
        <is>
          <t>Partial</t>
        </is>
      </c>
      <c r="G18" s="10" t="inlineStr">
        <is>
          <t>Partial</t>
        </is>
      </c>
      <c r="H18" s="6" t="inlineStr">
        <is>
          <t>Corporate finance</t>
        </is>
      </c>
      <c r="I18" s="6" t="inlineStr">
        <is>
          <t>Useful for Project Lab traceability</t>
        </is>
      </c>
    </row>
  </sheetData>
  <autoFilter ref="A4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8" customWidth="1" min="3" max="3"/>
    <col width="20" customWidth="1" min="4" max="4"/>
    <col width="16" customWidth="1" min="5" max="5"/>
    <col width="14" customWidth="1" min="6" max="6"/>
    <col width="48" customWidth="1" min="7" max="7"/>
  </cols>
  <sheetData>
    <row r="1" ht="24" customHeight="1">
      <c r="A1" s="1" t="inlineStr">
        <is>
          <t>OpenQuant Coverage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Repo-level mapping of product capabilities, formula support, and tests.</t>
        </is>
      </c>
      <c r="B2" s="2" t="n"/>
      <c r="C2" s="2" t="n"/>
      <c r="D2" s="2" t="n"/>
      <c r="E2" s="2" t="n"/>
      <c r="F2" s="2" t="n"/>
      <c r="G2" s="2" t="n"/>
    </row>
    <row r="3" ht="18" customHeight="1">
      <c r="A3" s="2" t="n"/>
      <c r="B3" s="2" t="n"/>
      <c r="C3" s="2" t="n"/>
      <c r="D3" s="2" t="n"/>
      <c r="E3" s="2" t="n"/>
      <c r="F3" s="2" t="n"/>
      <c r="G3" s="2" t="n"/>
    </row>
    <row r="4" ht="18" customHeight="1">
      <c r="A4" s="4" t="inlineStr">
        <is>
          <t>Module / file</t>
        </is>
      </c>
      <c r="B4" s="4" t="inlineStr">
        <is>
          <t>Capability</t>
        </is>
      </c>
      <c r="C4" s="4" t="inlineStr">
        <is>
          <t>What it covers</t>
        </is>
      </c>
      <c r="D4" s="4" t="inlineStr">
        <is>
          <t>Formula implemented?</t>
        </is>
      </c>
      <c r="E4" s="4" t="inlineStr">
        <is>
          <t>Productized?</t>
        </is>
      </c>
      <c r="F4" s="4" t="inlineStr">
        <is>
          <t>Tested?</t>
        </is>
      </c>
      <c r="G4" s="4" t="inlineStr">
        <is>
          <t>Notes</t>
        </is>
      </c>
    </row>
    <row r="5" ht="18" customHeight="1">
      <c r="A5" s="6" t="inlineStr">
        <is>
          <t>api/main.py</t>
        </is>
      </c>
      <c r="B5" s="6" t="inlineStr">
        <is>
          <t>Analyse endpoint</t>
        </is>
      </c>
      <c r="C5" s="6" t="inlineStr">
        <is>
          <t>Orchestrates ticker validation, data fetch, FCF, WACC, DCF, reverse DCF, sensitivity, multiples</t>
        </is>
      </c>
      <c r="D5" s="9" t="inlineStr">
        <is>
          <t>Yes</t>
        </is>
      </c>
      <c r="E5" s="9" t="inlineStr">
        <is>
          <t>Yes</t>
        </is>
      </c>
      <c r="F5" s="9" t="inlineStr">
        <is>
          <t>Yes</t>
        </is>
      </c>
      <c r="G5" s="6" t="inlineStr">
        <is>
          <t>Current core product endpoint</t>
        </is>
      </c>
    </row>
    <row r="6" ht="18" customHeight="1">
      <c r="A6" s="6" t="inlineStr">
        <is>
          <t>api/main.py</t>
        </is>
      </c>
      <c r="B6" s="6" t="inlineStr">
        <is>
          <t>Calibration endpoint</t>
        </is>
      </c>
      <c r="C6" s="6" t="inlineStr">
        <is>
          <t>Exposes backtest/results/calibration_summary.json</t>
        </is>
      </c>
      <c r="D6" s="9" t="inlineStr">
        <is>
          <t>Yes</t>
        </is>
      </c>
      <c r="E6" s="9" t="inlineStr">
        <is>
          <t>Yes</t>
        </is>
      </c>
      <c r="F6" s="9" t="inlineStr">
        <is>
          <t>Yes</t>
        </is>
      </c>
      <c r="G6" s="6" t="inlineStr">
        <is>
          <t>Main results only; no Markdown report</t>
        </is>
      </c>
    </row>
    <row r="7" ht="18" customHeight="1">
      <c r="A7" s="6" t="inlineStr">
        <is>
          <t>core/data.py</t>
        </is>
      </c>
      <c r="B7" s="6" t="inlineStr">
        <is>
          <t>Real data layer</t>
        </is>
      </c>
      <c r="C7" s="6" t="inlineStr">
        <is>
          <t>SEC EDGAR statements, yfinance prices, validation, caching</t>
        </is>
      </c>
      <c r="D7" s="9" t="inlineStr">
        <is>
          <t>Yes</t>
        </is>
      </c>
      <c r="E7" s="9" t="inlineStr">
        <is>
          <t>Yes</t>
        </is>
      </c>
      <c r="F7" s="9" t="inlineStr">
        <is>
          <t>Yes</t>
        </is>
      </c>
      <c r="G7" s="6" t="inlineStr">
        <is>
          <t>US-listed companies only</t>
        </is>
      </c>
    </row>
    <row r="8" ht="18" customHeight="1">
      <c r="A8" s="6" t="inlineStr">
        <is>
          <t>core/fcf.py</t>
        </is>
      </c>
      <c r="B8" s="6" t="inlineStr">
        <is>
          <t>FCF analysis</t>
        </is>
      </c>
      <c r="C8" s="6" t="inlineStr">
        <is>
          <t>Free cash flow history, growth, margins, warnings</t>
        </is>
      </c>
      <c r="D8" s="9" t="inlineStr">
        <is>
          <t>Yes</t>
        </is>
      </c>
      <c r="E8" s="9" t="inlineStr">
        <is>
          <t>Yes</t>
        </is>
      </c>
      <c r="F8" s="9" t="inlineStr">
        <is>
          <t>Yes</t>
        </is>
      </c>
      <c r="G8" s="6" t="inlineStr">
        <is>
          <t>Core current product</t>
        </is>
      </c>
    </row>
    <row r="9" ht="18" customHeight="1">
      <c r="A9" s="6" t="inlineStr">
        <is>
          <t>core/wacc.py</t>
        </is>
      </c>
      <c r="B9" s="6" t="inlineStr">
        <is>
          <t>Risk and discount rate</t>
        </is>
      </c>
      <c r="C9" s="6" t="inlineStr">
        <is>
          <t>Beta, CAPM cost of equity, cost of debt, WACC, Hamada helpers</t>
        </is>
      </c>
      <c r="D9" s="9" t="inlineStr">
        <is>
          <t>Yes</t>
        </is>
      </c>
      <c r="E9" s="9" t="inlineStr">
        <is>
          <t>Yes</t>
        </is>
      </c>
      <c r="F9" s="9" t="inlineStr">
        <is>
          <t>Yes</t>
        </is>
      </c>
      <c r="G9" s="6" t="inlineStr">
        <is>
          <t>Core current product</t>
        </is>
      </c>
    </row>
    <row r="10" ht="18" customHeight="1">
      <c r="A10" s="6" t="inlineStr">
        <is>
          <t>core/dcf.py</t>
        </is>
      </c>
      <c r="B10" s="6" t="inlineStr">
        <is>
          <t>Forward DCF</t>
        </is>
      </c>
      <c r="C10" s="6" t="inlineStr">
        <is>
          <t>Scenario valuation, terminal value, NPV, IRR, PV tax shield helpers</t>
        </is>
      </c>
      <c r="D10" s="9" t="inlineStr">
        <is>
          <t>Yes</t>
        </is>
      </c>
      <c r="E10" s="9" t="inlineStr">
        <is>
          <t>Yes</t>
        </is>
      </c>
      <c r="F10" s="9" t="inlineStr">
        <is>
          <t>Yes</t>
        </is>
      </c>
      <c r="G10" s="6" t="inlineStr">
        <is>
          <t>DCF productized; NPV/IRR/PVTS mostly test/support</t>
        </is>
      </c>
    </row>
    <row r="11" ht="18" customHeight="1">
      <c r="A11" s="6" t="inlineStr">
        <is>
          <t>core/reverse_dcf.py</t>
        </is>
      </c>
      <c r="B11" s="6" t="inlineStr">
        <is>
          <t>Market-implied expectations</t>
        </is>
      </c>
      <c r="C11" s="6" t="inlineStr">
        <is>
          <t>Solve implied FCF growth required by current price</t>
        </is>
      </c>
      <c r="D11" s="9" t="inlineStr">
        <is>
          <t>Yes</t>
        </is>
      </c>
      <c r="E11" s="9" t="inlineStr">
        <is>
          <t>Yes</t>
        </is>
      </c>
      <c r="F11" s="9" t="inlineStr">
        <is>
          <t>Yes</t>
        </is>
      </c>
      <c r="G11" s="6" t="inlineStr">
        <is>
          <t>Central product differentiator</t>
        </is>
      </c>
    </row>
    <row r="12" ht="18" customHeight="1">
      <c r="A12" s="6" t="inlineStr">
        <is>
          <t>core/sensitivity.py</t>
        </is>
      </c>
      <c r="B12" s="6" t="inlineStr">
        <is>
          <t>Sensitivity analysis</t>
        </is>
      </c>
      <c r="C12" s="6" t="inlineStr">
        <is>
          <t>Growth x WACC and terminal growth x WACC tables</t>
        </is>
      </c>
      <c r="D12" s="9" t="inlineStr">
        <is>
          <t>Yes</t>
        </is>
      </c>
      <c r="E12" s="9" t="inlineStr">
        <is>
          <t>Yes</t>
        </is>
      </c>
      <c r="F12" s="9" t="inlineStr">
        <is>
          <t>Yes</t>
        </is>
      </c>
      <c r="G12" s="9" t="inlineStr">
        <is>
          <t>Productized</t>
        </is>
      </c>
    </row>
    <row r="13" ht="18" customHeight="1">
      <c r="A13" s="6" t="inlineStr">
        <is>
          <t>core/multiples.py</t>
        </is>
      </c>
      <c r="B13" s="6" t="inlineStr">
        <is>
          <t>Market cross-check</t>
        </is>
      </c>
      <c r="C13" s="6" t="inlineStr">
        <is>
          <t>P/E, EV/EBITDA, FCF yield</t>
        </is>
      </c>
      <c r="D13" s="9" t="inlineStr">
        <is>
          <t>Yes</t>
        </is>
      </c>
      <c r="E13" s="9" t="inlineStr">
        <is>
          <t>Yes</t>
        </is>
      </c>
      <c r="F13" s="9" t="inlineStr">
        <is>
          <t>Yes</t>
        </is>
      </c>
      <c r="G13" s="6" t="inlineStr">
        <is>
          <t>Not course core, but useful sanity check</t>
        </is>
      </c>
    </row>
    <row r="14" ht="18" customHeight="1">
      <c r="A14" s="6" t="inlineStr">
        <is>
          <t>core/suitability.py</t>
        </is>
      </c>
      <c r="B14" s="6" t="inlineStr">
        <is>
          <t>Suitability gate</t>
        </is>
      </c>
      <c r="C14" s="6" t="inlineStr">
        <is>
          <t>DCF appropriateness checks and alternatives</t>
        </is>
      </c>
      <c r="D14" s="9" t="inlineStr">
        <is>
          <t>Yes</t>
        </is>
      </c>
      <c r="E14" s="9" t="inlineStr">
        <is>
          <t>Yes</t>
        </is>
      </c>
      <c r="F14" s="9" t="inlineStr">
        <is>
          <t>Yes</t>
        </is>
      </c>
      <c r="G14" s="6" t="inlineStr">
        <is>
          <t>Important for not overclaiming</t>
        </is>
      </c>
    </row>
    <row r="15" ht="18" customHeight="1">
      <c r="A15" s="6" t="inlineStr">
        <is>
          <t>core/assumption_diagnostic.py</t>
        </is>
      </c>
      <c r="B15" s="6" t="inlineStr">
        <is>
          <t>Diagnostic scoring</t>
        </is>
      </c>
      <c r="C15" s="6" t="inlineStr">
        <is>
          <t>Assumption risk scoring</t>
        </is>
      </c>
      <c r="D15" s="9" t="inlineStr">
        <is>
          <t>Yes</t>
        </is>
      </c>
      <c r="E15" s="9" t="inlineStr">
        <is>
          <t>Yes</t>
        </is>
      </c>
      <c r="F15" s="9" t="inlineStr">
        <is>
          <t>Yes</t>
        </is>
      </c>
      <c r="G15" s="6" t="inlineStr">
        <is>
          <t>Wired into /analyse and shown in the model reliability panel</t>
        </is>
      </c>
    </row>
    <row r="16" ht="18" customHeight="1">
      <c r="A16" s="6" t="inlineStr">
        <is>
          <t>core/red_flags.py</t>
        </is>
      </c>
      <c r="B16" s="6" t="inlineStr">
        <is>
          <t>Red flag summary</t>
        </is>
      </c>
      <c r="C16" s="6" t="inlineStr">
        <is>
          <t>Aggregates diagnostic and suitability caveats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Yes</t>
        </is>
      </c>
      <c r="G16" s="6" t="inlineStr">
        <is>
          <t>Wired into /analyse and shown before detailed formula evidence</t>
        </is>
      </c>
    </row>
    <row r="17" ht="18" customHeight="1">
      <c r="A17" s="6" t="inlineStr">
        <is>
          <t>core/audit_trail.py</t>
        </is>
      </c>
      <c r="B17" s="6" t="inlineStr">
        <is>
          <t>Formula trace</t>
        </is>
      </c>
      <c r="C17" s="6" t="inlineStr">
        <is>
          <t>Display formula references and inputs used</t>
        </is>
      </c>
      <c r="D17" s="9" t="inlineStr">
        <is>
          <t>Yes</t>
        </is>
      </c>
      <c r="E17" s="9" t="inlineStr">
        <is>
          <t>Yes</t>
        </is>
      </c>
      <c r="F17" s="8" t="inlineStr">
        <is>
          <t>No</t>
        </is>
      </c>
      <c r="G17" s="6" t="inlineStr">
        <is>
          <t>Wired into /analyse and UI; add dedicated tests next</t>
        </is>
      </c>
    </row>
    <row r="18" ht="18" customHeight="1">
      <c r="A18" s="6" t="inlineStr">
        <is>
          <t>backtest/</t>
        </is>
      </c>
      <c r="B18" s="6" t="inlineStr">
        <is>
          <t>Historical validation</t>
        </is>
      </c>
      <c r="C18" s="6" t="inlineStr">
        <is>
          <t>Run OpenQuant as of past dates and compare later outcomes</t>
        </is>
      </c>
      <c r="D18" s="9" t="inlineStr">
        <is>
          <t>Yes</t>
        </is>
      </c>
      <c r="E18" s="9" t="inlineStr">
        <is>
          <t>Yes</t>
        </is>
      </c>
      <c r="F18" s="9" t="inlineStr">
        <is>
          <t>Yes</t>
        </is>
      </c>
      <c r="G18" s="6" t="inlineStr">
        <is>
          <t>Backtest informativeness, not formula correctness</t>
        </is>
      </c>
    </row>
    <row r="19" ht="18" customHeight="1">
      <c r="A19" s="6" t="inlineStr">
        <is>
          <t>tests/test_epfl_exam1.py</t>
        </is>
      </c>
      <c r="B19" s="6" t="inlineStr">
        <is>
          <t>Sample exam 1 formula tests</t>
        </is>
      </c>
      <c r="C19" s="6" t="inlineStr">
        <is>
          <t>FCF, Hamada, CAPM, PVTS, NPV, IRR</t>
        </is>
      </c>
      <c r="D19" s="9" t="inlineStr">
        <is>
          <t>Yes</t>
        </is>
      </c>
      <c r="E19" s="8" t="inlineStr">
        <is>
          <t>No</t>
        </is>
      </c>
      <c r="F19" s="9" t="inlineStr">
        <is>
          <t>Yes</t>
        </is>
      </c>
      <c r="G19" s="6" t="inlineStr">
        <is>
          <t>Formula correctness layer</t>
        </is>
      </c>
    </row>
    <row r="20" ht="18" customHeight="1">
      <c r="A20" s="6" t="inlineStr">
        <is>
          <t>tests/test_epfl_exam2.py</t>
        </is>
      </c>
      <c r="B20" s="6" t="inlineStr">
        <is>
          <t>Sample exam 2 formula tests</t>
        </is>
      </c>
      <c r="C20" s="6" t="inlineStr">
        <is>
          <t>Growing annuity, DDM, beta/CAPM, portfolio, Sharpe</t>
        </is>
      </c>
      <c r="D20" s="9" t="inlineStr">
        <is>
          <t>Yes</t>
        </is>
      </c>
      <c r="E20" s="8" t="inlineStr">
        <is>
          <t>No</t>
        </is>
      </c>
      <c r="F20" s="9" t="inlineStr">
        <is>
          <t>Yes</t>
        </is>
      </c>
      <c r="G20" s="6" t="inlineStr">
        <is>
          <t>Formula correctness layer</t>
        </is>
      </c>
    </row>
    <row r="21" ht="18" customHeight="1">
      <c r="A21" s="6" t="inlineStr">
        <is>
          <t>tests/test_backtest_analysis.py</t>
        </is>
      </c>
      <c r="B21" s="6" t="inlineStr">
        <is>
          <t>Backtest metric tests</t>
        </is>
      </c>
      <c r="C21" s="6" t="inlineStr">
        <is>
          <t>Locks headline backtest metrics and API payload</t>
        </is>
      </c>
      <c r="D21" s="9" t="inlineStr">
        <is>
          <t>Yes</t>
        </is>
      </c>
      <c r="E21" s="9" t="inlineStr">
        <is>
          <t>Yes</t>
        </is>
      </c>
      <c r="F21" s="9" t="inlineStr">
        <is>
          <t>Yes</t>
        </is>
      </c>
      <c r="G21" s="6" t="inlineStr">
        <is>
          <t>Prevents silent drift in main reliability result</t>
        </is>
      </c>
    </row>
    <row r="22" ht="18" customHeight="1">
      <c r="A22" s="6" t="inlineStr">
        <is>
          <t>frontend/src</t>
        </is>
      </c>
      <c r="B22" s="6" t="inlineStr">
        <is>
          <t>Stock Valuation Lab UI</t>
        </is>
      </c>
      <c r="C22" s="6" t="inlineStr">
        <is>
          <t>Ticker analysis, scenarios, assumptions, reliability panel</t>
        </is>
      </c>
      <c r="D22" s="9" t="inlineStr">
        <is>
          <t>Yes</t>
        </is>
      </c>
      <c r="E22" s="9" t="inlineStr">
        <is>
          <t>Yes</t>
        </is>
      </c>
      <c r="F22" s="9" t="inlineStr">
        <is>
          <t>Yes</t>
        </is>
      </c>
      <c r="G22" s="6" t="inlineStr">
        <is>
          <t>Next improvement: make market-implied belief even more central</t>
        </is>
      </c>
    </row>
  </sheetData>
  <autoFilter ref="A4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 ht="24" customHeight="1">
      <c r="A1" s="1" t="inlineStr">
        <is>
          <t>Source Workbook</t>
        </is>
      </c>
      <c r="B1" s="2" t="n"/>
      <c r="C1" s="2" t="n"/>
    </row>
    <row r="2" ht="18" customHeight="1">
      <c r="A2" s="3" t="inlineStr">
        <is>
          <t>EPFL master workbook sheets and formula-cell counts, used as source inventory.</t>
        </is>
      </c>
      <c r="B2" s="2" t="n"/>
      <c r="C2" s="2" t="n"/>
    </row>
    <row r="3" ht="18" customHeight="1">
      <c r="A3" s="2" t="n"/>
      <c r="B3" s="2" t="n"/>
      <c r="C3" s="2" t="n"/>
    </row>
    <row r="4" ht="18" customHeight="1">
      <c r="A4" s="4" t="inlineStr">
        <is>
          <t>Workbook sheet</t>
        </is>
      </c>
      <c r="B4" s="4" t="inlineStr">
        <is>
          <t>Formula cells</t>
        </is>
      </c>
      <c r="C4" s="4" t="inlineStr">
        <is>
          <t>What it covers</t>
        </is>
      </c>
    </row>
    <row r="5" ht="18" customHeight="1">
      <c r="A5" s="6" t="inlineStr">
        <is>
          <t>Cover</t>
        </is>
      </c>
      <c r="B5" s="6" t="n">
        <v>0</v>
      </c>
      <c r="C5" s="6" t="inlineStr">
        <is>
          <t>Course metadata and workbook navigation</t>
        </is>
      </c>
    </row>
    <row r="6" ht="18" customHeight="1">
      <c r="A6" s="6" t="inlineStr">
        <is>
          <t>TVM &amp; Bonds</t>
        </is>
      </c>
      <c r="B6" s="6" t="n">
        <v>59</v>
      </c>
      <c r="C6" s="6" t="inlineStr">
        <is>
          <t>PV/FV, perpetuity, growing perpetuity, annuity, bond pricing, YTM, stock valuation, NWC mini-block</t>
        </is>
      </c>
    </row>
    <row r="7" ht="18" customHeight="1">
      <c r="A7" s="6" t="inlineStr">
        <is>
          <t>Rate &amp; Spot Rates</t>
        </is>
      </c>
      <c r="B7" s="6" t="n">
        <v>25</v>
      </c>
      <c r="C7" s="6" t="inlineStr">
        <is>
          <t>Rate conversion, zero-coupon spot rates, forward rates, coupon bond from spots</t>
        </is>
      </c>
    </row>
    <row r="8" ht="18" customHeight="1">
      <c r="A8" s="6" t="inlineStr">
        <is>
          <t>Duration &amp; PI</t>
        </is>
      </c>
      <c r="B8" s="6" t="n">
        <v>45</v>
      </c>
      <c r="C8" s="6" t="inlineStr">
        <is>
          <t>Macaulay duration, modified duration, profitability index, NPV vs IRR</t>
        </is>
      </c>
    </row>
    <row r="9" ht="18" customHeight="1">
      <c r="A9" s="6" t="inlineStr">
        <is>
          <t>Stats Basics</t>
        </is>
      </c>
      <c r="B9" s="6" t="n">
        <v>27</v>
      </c>
      <c r="C9" s="6" t="inlineStr">
        <is>
          <t>Expected return, variance, standard deviation, covariance, correlation</t>
        </is>
      </c>
    </row>
    <row r="10" ht="18" customHeight="1">
      <c r="A10" s="6" t="inlineStr">
        <is>
          <t>Portfolio Theory</t>
        </is>
      </c>
      <c r="B10" s="6" t="n">
        <v>20</v>
      </c>
      <c r="C10" s="6" t="inlineStr">
        <is>
          <t>Portfolio weights, expected return, covariance matrix, portfolio variance and volatility</t>
        </is>
      </c>
    </row>
    <row r="11" ht="18" customHeight="1">
      <c r="A11" s="6" t="inlineStr">
        <is>
          <t>Adv Portfolio</t>
        </is>
      </c>
      <c r="B11" s="6" t="n">
        <v>17</v>
      </c>
      <c r="C11" s="6" t="inlineStr">
        <is>
          <t>Minimum variance weight, idiosyncratic variance, capital gain rate</t>
        </is>
      </c>
    </row>
    <row r="12" ht="18" customHeight="1">
      <c r="A12" s="6" t="inlineStr">
        <is>
          <t>CAPM</t>
        </is>
      </c>
      <c r="B12" s="6" t="n">
        <v>11</v>
      </c>
      <c r="C12" s="6" t="inlineStr">
        <is>
          <t>Beta, CAPM required return, security market line, alpha</t>
        </is>
      </c>
    </row>
    <row r="13" ht="18" customHeight="1">
      <c r="A13" s="6" t="inlineStr">
        <is>
          <t>WACC</t>
        </is>
      </c>
      <c r="B13" s="6" t="n">
        <v>7</v>
      </c>
      <c r="C13" s="6" t="inlineStr">
        <is>
          <t>Cost of equity, cost of debt, WACC, Modigliani-Miller intuition</t>
        </is>
      </c>
    </row>
    <row r="14" ht="18" customHeight="1">
      <c r="A14" s="6" t="inlineStr">
        <is>
          <t>APV &amp; Distress</t>
        </is>
      </c>
      <c r="B14" s="6" t="n">
        <v>32</v>
      </c>
      <c r="C14" s="6" t="inlineStr">
        <is>
          <t>APV, PV tax shield, bankruptcy costs, trade-off theory</t>
        </is>
      </c>
    </row>
    <row r="15" ht="18" customHeight="1">
      <c r="A15" s="6" t="inlineStr">
        <is>
          <t>DCF Valuation</t>
        </is>
      </c>
      <c r="B15" s="6" t="n">
        <v>50</v>
      </c>
      <c r="C15" s="6" t="inlineStr">
        <is>
          <t>FCF projections, terminal value, enterprise value, equity bridge, scenario valuation</t>
        </is>
      </c>
    </row>
    <row r="16" ht="18" customHeight="1">
      <c r="A16" s="6" t="inlineStr">
        <is>
          <t>Disney DCF</t>
        </is>
      </c>
      <c r="B16" s="6" t="n">
        <v>32</v>
      </c>
      <c r="C16" s="6" t="inlineStr">
        <is>
          <t>Damodaran-style 10-year DCF case study</t>
        </is>
      </c>
    </row>
    <row r="17" ht="18" customHeight="1">
      <c r="A17" s="6" t="inlineStr">
        <is>
          <t>WB Intrinsic Value</t>
        </is>
      </c>
      <c r="B17" s="6" t="n">
        <v>18</v>
      </c>
      <c r="C17" s="6" t="inlineStr">
        <is>
          <t>Buffett/BVPS intrinsic value method</t>
        </is>
      </c>
    </row>
    <row r="18" ht="18" customHeight="1">
      <c r="A18" s="6" t="inlineStr">
        <is>
          <t>Derivatives Calc</t>
        </is>
      </c>
      <c r="B18" s="6" t="n">
        <v>97</v>
      </c>
      <c r="C18" s="6" t="inlineStr">
        <is>
          <t>Forward/futures pricing, option payoffs, put-call parity, binomial, Black-Scholes</t>
        </is>
      </c>
    </row>
    <row r="19" ht="18" customHeight="1">
      <c r="A19" s="6" t="inlineStr">
        <is>
          <t>TOTAL</t>
        </is>
      </c>
      <c r="B19" s="6" t="n">
        <v>440</v>
      </c>
      <c r="C19" s="6" t="inlineStr">
        <is>
          <t>Total formula cells across the EPFL master workbook</t>
        </is>
      </c>
    </row>
  </sheetData>
  <autoFilter ref="A4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58" customWidth="1" min="5" max="5"/>
    <col width="58" customWidth="1" min="6" max="6"/>
  </cols>
  <sheetData>
    <row r="1" ht="24" customHeight="1">
      <c r="A1" s="1" t="inlineStr">
        <is>
          <t>Missing Coverage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Items outside current product scope or not yet fully covered.</t>
        </is>
      </c>
      <c r="B2" s="2" t="n"/>
      <c r="C2" s="2" t="n"/>
      <c r="D2" s="2" t="n"/>
      <c r="E2" s="2" t="n"/>
      <c r="F2" s="2" t="n"/>
    </row>
    <row r="3" ht="18" customHeight="1">
      <c r="A3" s="2" t="n"/>
      <c r="B3" s="2" t="n"/>
      <c r="C3" s="2" t="n"/>
      <c r="D3" s="2" t="n"/>
      <c r="E3" s="2" t="n"/>
      <c r="F3" s="2" t="n"/>
    </row>
    <row r="4" ht="18" customHeight="1">
      <c r="A4" s="4" t="inlineStr">
        <is>
          <t>Type</t>
        </is>
      </c>
      <c r="B4" s="4" t="inlineStr">
        <is>
          <t>Item</t>
        </is>
      </c>
      <c r="C4" s="4" t="inlineStr">
        <is>
          <t>Status today</t>
        </is>
      </c>
      <c r="D4" s="4" t="inlineStr">
        <is>
          <t>Suggested priority</t>
        </is>
      </c>
      <c r="E4" s="4" t="inlineStr">
        <is>
          <t>Why it matters / why missing</t>
        </is>
      </c>
      <c r="F4" s="4" t="inlineStr">
        <is>
          <t>To make full</t>
        </is>
      </c>
    </row>
    <row r="5" ht="18" customHeight="1">
      <c r="A5" s="6" t="inlineStr">
        <is>
          <t>Product gap</t>
        </is>
      </c>
      <c r="B5" s="6" t="inlineStr">
        <is>
          <t>Project Decision Lab</t>
        </is>
      </c>
      <c r="C5" s="6" t="inlineStr">
        <is>
          <t>Not productized</t>
        </is>
      </c>
      <c r="D5" s="6" t="inlineStr">
        <is>
          <t>High later</t>
        </is>
      </c>
      <c r="E5" s="6" t="inlineStr">
        <is>
          <t>Needed to directly express value enhancement through project decisions</t>
        </is>
      </c>
      <c r="F5" s="6" t="inlineStr">
        <is>
          <t>Build NPV/IRR/PI workflow with real or user-entered project cash flows</t>
        </is>
      </c>
    </row>
    <row r="6" ht="18" customHeight="1">
      <c r="A6" s="6" t="inlineStr">
        <is>
          <t>Product gap</t>
        </is>
      </c>
      <c r="B6" s="6" t="inlineStr">
        <is>
          <t>Bonds &amp; Rates Lab</t>
        </is>
      </c>
      <c r="C6" s="6" t="inlineStr">
        <is>
          <t>Not productized</t>
        </is>
      </c>
      <c r="D6" s="6" t="inlineStr">
        <is>
          <t>Medium later</t>
        </is>
      </c>
      <c r="E6" s="6" t="inlineStr">
        <is>
          <t>Course/workbook/exams include bonds, spot/forward rates, duration</t>
        </is>
      </c>
      <c r="F6" s="6" t="inlineStr">
        <is>
          <t>Build bond price, YTM, duration, rate-shock demo</t>
        </is>
      </c>
    </row>
    <row r="7" ht="18" customHeight="1">
      <c r="A7" s="6" t="inlineStr">
        <is>
          <t>Product gap</t>
        </is>
      </c>
      <c r="B7" s="6" t="inlineStr">
        <is>
          <t>Portfolio Lab</t>
        </is>
      </c>
      <c r="C7" s="6" t="inlineStr">
        <is>
          <t>Not productized</t>
        </is>
      </c>
      <c r="D7" s="6" t="inlineStr">
        <is>
          <t>Medium later</t>
        </is>
      </c>
      <c r="E7" s="6" t="inlineStr">
        <is>
          <t>Course/workbook/exams include diversification, min variance, Sharpe</t>
        </is>
      </c>
      <c r="F7" s="6" t="inlineStr">
        <is>
          <t>Build portfolio risk/return and diversification view</t>
        </is>
      </c>
    </row>
    <row r="8" ht="18" customHeight="1">
      <c r="A8" s="6" t="inlineStr">
        <is>
          <t>Product gap</t>
        </is>
      </c>
      <c r="B8" s="6" t="inlineStr">
        <is>
          <t>Capital Structure Policy Lab</t>
        </is>
      </c>
      <c r="C8" s="6" t="inlineStr">
        <is>
          <t>Not productized</t>
        </is>
      </c>
      <c r="D8" s="6" t="inlineStr">
        <is>
          <t>Medium later</t>
        </is>
      </c>
      <c r="E8" s="6" t="inlineStr">
        <is>
          <t>Course first part includes policies/strategies maximizing firm value</t>
        </is>
      </c>
      <c r="F8" s="6" t="inlineStr">
        <is>
          <t>Build WACC/APV/debt tax shield/distress trade-off workflow</t>
        </is>
      </c>
    </row>
    <row r="9" ht="18" customHeight="1">
      <c r="A9" s="8" t="inlineStr">
        <is>
          <t>Out of scope</t>
        </is>
      </c>
      <c r="B9" s="6" t="inlineStr">
        <is>
          <t>Derivatives Lab</t>
        </is>
      </c>
      <c r="C9" s="8" t="inlineStr">
        <is>
          <t>Out of scope</t>
        </is>
      </c>
      <c r="D9" s="10" t="inlineStr">
        <is>
          <t>Only if scope expands</t>
        </is>
      </c>
      <c r="E9" s="6" t="inlineStr">
        <is>
          <t>Course second part exists but current OpenQuant does not cover it</t>
        </is>
      </c>
      <c r="F9" s="6" t="inlineStr">
        <is>
          <t>Only after corporate-finance product is solid</t>
        </is>
      </c>
    </row>
    <row r="10" ht="18" customHeight="1">
      <c r="A10" s="6" t="inlineStr">
        <is>
          <t>Traceability gap</t>
        </is>
      </c>
      <c r="B10" s="6" t="inlineStr">
        <is>
          <t>SampleExam3 detailed mapping</t>
        </is>
      </c>
      <c r="C10" s="10" t="inlineStr">
        <is>
          <t>Partial</t>
        </is>
      </c>
      <c r="D10" s="6" t="inlineStr">
        <is>
          <t>Medium</t>
        </is>
      </c>
      <c r="E10" s="6" t="inlineStr">
        <is>
          <t>Not currently represented by dedicated tests</t>
        </is>
      </c>
      <c r="F10" s="6" t="inlineStr">
        <is>
          <t>Add tests only for concepts relevant to planned modules</t>
        </is>
      </c>
    </row>
    <row r="11" ht="18" customHeight="1">
      <c r="A11" s="6" t="inlineStr">
        <is>
          <t>Product gap</t>
        </is>
      </c>
      <c r="B11" s="6" t="inlineStr">
        <is>
          <t>NWC component explanation</t>
        </is>
      </c>
      <c r="C11" s="10" t="inlineStr">
        <is>
          <t>Partial</t>
        </is>
      </c>
      <c r="D11" s="6" t="inlineStr">
        <is>
          <t>High later</t>
        </is>
      </c>
      <c r="E11" s="6" t="inlineStr">
        <is>
          <t>Important for FCF and project decisions</t>
        </is>
      </c>
      <c r="F11" s="6" t="inlineStr">
        <is>
          <t>Expose AR/inventory/AP and delta NWC in FCF audit</t>
        </is>
      </c>
    </row>
    <row r="12" ht="18" customHeight="1">
      <c r="A12" s="6" t="inlineStr">
        <is>
          <t>Product gap</t>
        </is>
      </c>
      <c r="B12" s="6" t="inlineStr">
        <is>
          <t>APV full workflow</t>
        </is>
      </c>
      <c r="C12" s="10" t="inlineStr">
        <is>
          <t>Partial</t>
        </is>
      </c>
      <c r="D12" s="6" t="inlineStr">
        <is>
          <t>Medium later</t>
        </is>
      </c>
      <c r="E12" s="6" t="inlineStr">
        <is>
          <t>PV tax shield exists but APV is not a product flow</t>
        </is>
      </c>
      <c r="F12" s="6" t="inlineStr">
        <is>
          <t>Build APV as alternative to WACC valuation when leverage changes</t>
        </is>
      </c>
    </row>
    <row r="13" ht="18" customHeight="1">
      <c r="A13" s="6" t="inlineStr">
        <is>
          <t>Product gap</t>
        </is>
      </c>
      <c r="B13" s="6" t="inlineStr">
        <is>
          <t>Backtest breadth</t>
        </is>
      </c>
      <c r="C13" s="10" t="inlineStr">
        <is>
          <t>Partial</t>
        </is>
      </c>
      <c r="D13" s="6" t="inlineStr">
        <is>
          <t>High later</t>
        </is>
      </c>
      <c r="E13" s="6" t="inlineStr">
        <is>
          <t>Current headline backtest is one 2014-2024 stock valuation run</t>
        </is>
      </c>
      <c r="F13" s="6" t="inlineStr">
        <is>
          <t>Add multiple as-of dates and scenario variants</t>
        </is>
      </c>
    </row>
    <row r="14" ht="18" customHeight="1">
      <c r="A14" s="6" t="inlineStr">
        <is>
          <t>Testing gap</t>
        </is>
      </c>
      <c r="B14" s="6" t="inlineStr">
        <is>
          <t>Audit trail dedicated tests</t>
        </is>
      </c>
      <c r="C14" s="6" t="inlineStr">
        <is>
          <t>Productized, not directly tested</t>
        </is>
      </c>
      <c r="D14" s="6" t="inlineStr">
        <is>
          <t>Medium</t>
        </is>
      </c>
      <c r="E14" s="6" t="inlineStr">
        <is>
          <t>Audit trail is now returned by API/UI but lacks focused tests</t>
        </is>
      </c>
      <c r="F14" s="6" t="inlineStr">
        <is>
          <t>Add tests for audit payload shape and formula references</t>
        </is>
      </c>
    </row>
    <row r="15" ht="18" customHeight="1">
      <c r="A15" s="6" t="inlineStr">
        <is>
          <t>UX gap</t>
        </is>
      </c>
      <c r="B15" s="6" t="inlineStr">
        <is>
          <t>Market-implied belief as first screen</t>
        </is>
      </c>
      <c r="C15" s="10" t="inlineStr">
        <is>
          <t>Partial</t>
        </is>
      </c>
      <c r="D15" s="6" t="inlineStr">
        <is>
          <t>High</t>
        </is>
      </c>
      <c r="E15" s="6" t="inlineStr">
        <is>
          <t>README/strategy now say this, UI still includes fair-value framing</t>
        </is>
      </c>
      <c r="F15" s="6" t="inlineStr">
        <is>
          <t>Move reverse DCF and assumptions before intrinsic-value verdict language</t>
        </is>
      </c>
    </row>
  </sheetData>
  <autoFilter ref="A4:F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72" customWidth="1" min="3" max="3"/>
  </cols>
  <sheetData>
    <row r="1" ht="24" customHeight="1">
      <c r="A1" s="1" t="inlineStr">
        <is>
          <t>Sources</t>
        </is>
      </c>
      <c r="B1" s="2" t="n"/>
      <c r="C1" s="2" t="n"/>
    </row>
    <row r="2" ht="18" customHeight="1">
      <c r="A2" s="3" t="inlineStr">
        <is>
          <t>Source material used to build this project plan workbook.</t>
        </is>
      </c>
      <c r="B2" s="2" t="n"/>
      <c r="C2" s="2" t="n"/>
    </row>
    <row r="3" ht="18" customHeight="1">
      <c r="A3" s="2" t="n"/>
      <c r="B3" s="2" t="n"/>
      <c r="C3" s="2" t="n"/>
    </row>
    <row r="4" ht="18" customHeight="1">
      <c r="A4" s="4" t="inlineStr">
        <is>
          <t>Source type</t>
        </is>
      </c>
      <c r="B4" s="4" t="inlineStr">
        <is>
          <t>File / location</t>
        </is>
      </c>
      <c r="C4" s="4" t="inlineStr">
        <is>
          <t>Used for</t>
        </is>
      </c>
    </row>
    <row r="5" ht="18" customHeight="1">
      <c r="A5" s="6" t="inlineStr">
        <is>
          <t>Course notes</t>
        </is>
      </c>
      <c r="B5" s="6" t="inlineStr">
        <is>
          <t>EPFL_Finance_Complete_Notes.docx</t>
        </is>
      </c>
      <c r="C5" s="6" t="inlineStr">
        <is>
          <t>Course structure, concepts, worked solution summaries</t>
        </is>
      </c>
    </row>
    <row r="6" ht="18" customHeight="1">
      <c r="A6" s="6" t="inlineStr">
        <is>
          <t>Formula sheet</t>
        </is>
      </c>
      <c r="B6" s="6" t="inlineStr">
        <is>
          <t>z Formula Sheet Final 2011 - copie.pdf</t>
        </is>
      </c>
      <c r="C6" s="6" t="inlineStr">
        <is>
          <t>Official formula reference</t>
        </is>
      </c>
    </row>
    <row r="7" ht="18" customHeight="1">
      <c r="A7" s="6" t="inlineStr">
        <is>
          <t>Workbook</t>
        </is>
      </c>
      <c r="B7" s="6" t="inlineStr">
        <is>
          <t>EPFL_Finance_Master_Workbook.xlsx</t>
        </is>
      </c>
      <c r="C7" s="6" t="inlineStr">
        <is>
          <t>Interactive course formula sheets and examples</t>
        </is>
      </c>
    </row>
    <row r="8" ht="18" customHeight="1">
      <c r="A8" s="6" t="inlineStr">
        <is>
          <t>Sample exam</t>
        </is>
      </c>
      <c r="B8" s="6" t="inlineStr">
        <is>
          <t>SampleExam1.pdf</t>
        </is>
      </c>
      <c r="C8" s="6" t="inlineStr">
        <is>
          <t>Final exam problems and solutions</t>
        </is>
      </c>
    </row>
    <row r="9" ht="18" customHeight="1">
      <c r="A9" s="6" t="inlineStr">
        <is>
          <t>Sample exam</t>
        </is>
      </c>
      <c r="B9" s="6" t="inlineStr">
        <is>
          <t>SampleExam2.pdf</t>
        </is>
      </c>
      <c r="C9" s="6" t="inlineStr">
        <is>
          <t>Midterm B problems and solutions</t>
        </is>
      </c>
    </row>
    <row r="10" ht="18" customHeight="1">
      <c r="A10" s="6" t="inlineStr">
        <is>
          <t>Sample exam</t>
        </is>
      </c>
      <c r="B10" s="6" t="inlineStr">
        <is>
          <t>SampleExam3.pdf</t>
        </is>
      </c>
      <c r="C10" s="6" t="inlineStr">
        <is>
          <t>Midterm problems and solutions</t>
        </is>
      </c>
    </row>
    <row r="11" ht="18" customHeight="1">
      <c r="A11" s="6" t="inlineStr">
        <is>
          <t>OpenQuant repo</t>
        </is>
      </c>
      <c r="B11" s="6" t="inlineStr">
        <is>
          <t>core/, api/, frontend/, backtest/, tests/</t>
        </is>
      </c>
      <c r="C11" s="6" t="inlineStr">
        <is>
          <t>Implemented product, formulas, tests, and backtests</t>
        </is>
      </c>
    </row>
  </sheetData>
  <autoFilter ref="A4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6" customWidth="1" min="4" max="4"/>
    <col width="52" customWidth="1" min="5" max="5"/>
  </cols>
  <sheetData>
    <row r="1" ht="24" customHeight="1">
      <c r="A1" s="1" t="inlineStr">
        <is>
          <t>Checks</t>
        </is>
      </c>
      <c r="B1" s="2" t="n"/>
      <c r="C1" s="2" t="n"/>
      <c r="D1" s="2" t="n"/>
      <c r="E1" s="2" t="n"/>
    </row>
    <row r="2" ht="18" customHeight="1">
      <c r="A2" s="3" t="inlineStr">
        <is>
          <t>Basic workbook integrity checks.</t>
        </is>
      </c>
      <c r="B2" s="2" t="n"/>
      <c r="C2" s="2" t="n"/>
      <c r="D2" s="2" t="n"/>
      <c r="E2" s="2" t="n"/>
    </row>
    <row r="3" ht="18" customHeight="1">
      <c r="A3" s="2" t="n"/>
      <c r="B3" s="2" t="n"/>
      <c r="C3" s="2" t="n"/>
      <c r="D3" s="2" t="n"/>
      <c r="E3" s="2" t="n"/>
    </row>
    <row r="4" ht="18" customHeight="1">
      <c r="A4" s="4" t="inlineStr">
        <is>
          <t>Check</t>
        </is>
      </c>
      <c r="B4" s="4" t="inlineStr">
        <is>
          <t>Actual</t>
        </is>
      </c>
      <c r="C4" s="4" t="inlineStr">
        <is>
          <t>Expected</t>
        </is>
      </c>
      <c r="D4" s="4" t="inlineStr">
        <is>
          <t>Status</t>
        </is>
      </c>
      <c r="E4" s="4" t="inlineStr">
        <is>
          <t>Notes</t>
        </is>
      </c>
    </row>
    <row r="5" ht="18" customHeight="1">
      <c r="A5" s="6" t="inlineStr">
        <is>
          <t>Concept inventory has rows</t>
        </is>
      </c>
      <c r="B5" s="6">
        <f>COUNTA('Concept Inventory'!B5:B200)</f>
        <v/>
      </c>
      <c r="C5" s="6" t="inlineStr">
        <is>
          <t>&gt;0</t>
        </is>
      </c>
      <c r="D5" s="6">
        <f>IF(B5&gt;0,"OK","CHECK")</f>
        <v/>
      </c>
      <c r="E5" s="6" t="inlineStr">
        <is>
          <t>Should be populated</t>
        </is>
      </c>
    </row>
    <row r="6" ht="18" customHeight="1">
      <c r="A6" s="6" t="inlineStr">
        <is>
          <t>Formula inventory has rows</t>
        </is>
      </c>
      <c r="B6" s="6">
        <f>COUNTA('Formula Inventory'!B5:B250)</f>
        <v/>
      </c>
      <c r="C6" s="6" t="inlineStr">
        <is>
          <t>&gt;0</t>
        </is>
      </c>
      <c r="D6" s="6">
        <f>IF(B6&gt;0,"OK","CHECK")</f>
        <v/>
      </c>
      <c r="E6" s="6" t="inlineStr">
        <is>
          <t>Should be populated</t>
        </is>
      </c>
    </row>
    <row r="7" ht="18" customHeight="1">
      <c r="A7" s="6" t="inlineStr">
        <is>
          <t>Exam mapping has rows</t>
        </is>
      </c>
      <c r="B7" s="6">
        <f>COUNTA('Exam Mapping'!C5:C100)</f>
        <v/>
      </c>
      <c r="C7" s="6" t="inlineStr">
        <is>
          <t>&gt;0</t>
        </is>
      </c>
      <c r="D7" s="6">
        <f>IF(B7&gt;0,"OK","CHECK")</f>
        <v/>
      </c>
      <c r="E7" s="6" t="inlineStr">
        <is>
          <t>Should be populated</t>
        </is>
      </c>
    </row>
    <row r="8" ht="18" customHeight="1">
      <c r="A8" s="6" t="inlineStr">
        <is>
          <t>OpenQuant coverage has rows</t>
        </is>
      </c>
      <c r="B8" s="6">
        <f>COUNTA('OpenQuant Coverage'!B5:B100)</f>
        <v/>
      </c>
      <c r="C8" s="6" t="inlineStr">
        <is>
          <t>&gt;0</t>
        </is>
      </c>
      <c r="D8" s="6">
        <f>IF(B8&gt;0,"OK","CHECK")</f>
        <v/>
      </c>
      <c r="E8" s="6" t="inlineStr">
        <is>
          <t>Should be populated</t>
        </is>
      </c>
    </row>
    <row r="9" ht="18" customHeight="1">
      <c r="A9" s="6" t="inlineStr">
        <is>
          <t>Objective present</t>
        </is>
      </c>
      <c r="B9" s="6">
        <f>IF(ISNUMBER(SEARCH("financial valuation",'Project Plan'!B5)),1,0)</f>
        <v/>
      </c>
      <c r="C9" s="6" t="inlineStr">
        <is>
          <t>1</t>
        </is>
      </c>
      <c r="D9" s="6">
        <f>IF(B9=1,"OK","CHECK")</f>
        <v/>
      </c>
      <c r="E9" s="6" t="inlineStr">
        <is>
          <t>Official objective should appear in Project Plan</t>
        </is>
      </c>
    </row>
  </sheetData>
  <autoFilter ref="A4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2026-05-28T01:17:09Z</dcterms:created>
  <dcterms:modified xmlns:dcterms="http://purl.org/dc/terms/" xmlns:xsi="http://www.w3.org/2001/XMLSchema-instance" xsi:type="dcterms:W3CDTF">2026-06-24T18:14:20Z</dcterms:modified>
</cp:coreProperties>
</file>